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_研究课题\3D genome\Manuscript\Submit to NCB（2022-11-4）\Extended data\"/>
    </mc:Choice>
  </mc:AlternateContent>
  <xr:revisionPtr revIDLastSave="0" documentId="13_ncr:1_{BEAB0FB2-40D7-478E-BEBB-3514E97240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39" i="1"/>
  <c r="B36" i="1"/>
</calcChain>
</file>

<file path=xl/sharedStrings.xml><?xml version="1.0" encoding="utf-8"?>
<sst xmlns="http://schemas.openxmlformats.org/spreadsheetml/2006/main" count="554" uniqueCount="483">
  <si>
    <t>Gene ID</t>
  </si>
  <si>
    <t>Transcript ID</t>
  </si>
  <si>
    <t>M-phase RPKM</t>
  </si>
  <si>
    <t>L-phase RPKM</t>
  </si>
  <si>
    <t>Repeat-1</t>
  </si>
  <si>
    <t>Repeat-2</t>
  </si>
  <si>
    <t>Repeat-3</t>
  </si>
  <si>
    <t>M-average</t>
  </si>
  <si>
    <t>L-average</t>
  </si>
  <si>
    <t>Eicosapentaenoic acid</t>
  </si>
  <si>
    <t>SCO0124</t>
  </si>
  <si>
    <t>NC_003888.3_cds_NP_624463.1_104</t>
  </si>
  <si>
    <t>ND</t>
  </si>
  <si>
    <t>SCO0125</t>
  </si>
  <si>
    <t>NC_003888.3_cds_NP_624464.1_105</t>
  </si>
  <si>
    <t>SCO0126</t>
  </si>
  <si>
    <t>NC_003888.3_cds_NP_624465.1_106</t>
  </si>
  <si>
    <t>SCO0127</t>
  </si>
  <si>
    <t>NC_003888.3_cds_NP_624466.1_107</t>
  </si>
  <si>
    <t>SCO0128</t>
  </si>
  <si>
    <t>NC_003888.3_cds_NP_624467.1_108</t>
  </si>
  <si>
    <t>SCO0129</t>
  </si>
  <si>
    <t>NC_003888.3_cds_NP_624468.1_109</t>
  </si>
  <si>
    <t>Isorenieratene</t>
  </si>
  <si>
    <t>SCO0185</t>
  </si>
  <si>
    <t>NC_003888.3_cds_NP_624521.1_164</t>
  </si>
  <si>
    <t>SCO0186</t>
  </si>
  <si>
    <t>NC_003888.3_cds_NP_624522.1_165</t>
  </si>
  <si>
    <t>SCO0187</t>
  </si>
  <si>
    <t>NC_003888.3_cds_NP_624523.1_166</t>
  </si>
  <si>
    <t>SCO0188</t>
  </si>
  <si>
    <t>NC_003888.3_cds_NP_624524.1_167</t>
  </si>
  <si>
    <t>SCO0189</t>
  </si>
  <si>
    <t>NC_003888.3_cds_NP_733493.1_168</t>
  </si>
  <si>
    <t>SCO0190</t>
  </si>
  <si>
    <t>NC_003888.3_cds_NP_624525.1_169</t>
  </si>
  <si>
    <t>SCO0191</t>
  </si>
  <si>
    <t>NC_003888.3_cds_NP_624526.1_170</t>
  </si>
  <si>
    <t>Lantibiotic</t>
  </si>
  <si>
    <t>SCO0267</t>
  </si>
  <si>
    <t>NC_003888.3_cds_NP_624597.1_243</t>
  </si>
  <si>
    <t>SCO0268</t>
  </si>
  <si>
    <t>NC_003888.3_cds_NP_624598.1_244</t>
  </si>
  <si>
    <t>SCO0269</t>
  </si>
  <si>
    <t>NC_003888.3_cds_NP_624599.1_245</t>
  </si>
  <si>
    <t>SCO0270</t>
  </si>
  <si>
    <t>NC_003888.3_cds_NP_624600.1_246</t>
  </si>
  <si>
    <t>Coelichelin</t>
  </si>
  <si>
    <t>SCO0489</t>
  </si>
  <si>
    <t>NC_003888.3_cds_NP_624806.1_461</t>
  </si>
  <si>
    <t>SCO0490</t>
  </si>
  <si>
    <t>NC_003888.3_cds_NP_624807.1_462</t>
  </si>
  <si>
    <t>SCO0491</t>
  </si>
  <si>
    <t>NC_003888.3_cds_NP_624808.1_463</t>
  </si>
  <si>
    <t>SCO0492</t>
  </si>
  <si>
    <t>NC_003888.3_cds_NP_624809.1_464</t>
  </si>
  <si>
    <t>SCO0493</t>
  </si>
  <si>
    <t>NC_003888.3_cds_NP_624810.1_465</t>
  </si>
  <si>
    <t>SCO0494</t>
  </si>
  <si>
    <t>NC_003888.3_cds_NP_624811.1_466</t>
  </si>
  <si>
    <t>SCO0495</t>
  </si>
  <si>
    <t>NC_003888.3_cds_NP_624812.1_467</t>
  </si>
  <si>
    <t>SCO0496</t>
  </si>
  <si>
    <t>NC_003888.3_cds_NP_624813.1_468</t>
  </si>
  <si>
    <t>SCO0497</t>
  </si>
  <si>
    <t>NC_003888.3_cds_NP_624814.1_469</t>
  </si>
  <si>
    <t>SCO0498</t>
  </si>
  <si>
    <t>NC_003888.3_cds_NP_624815.1_470</t>
  </si>
  <si>
    <t>SCO0499</t>
  </si>
  <si>
    <t>NC_003888.3_cds_NP_624816.1_471</t>
  </si>
  <si>
    <t>Bacteriocin</t>
  </si>
  <si>
    <t>SCO0753</t>
  </si>
  <si>
    <t>NC_003888.3_cds_NP_625056.1_720</t>
  </si>
  <si>
    <t>SCO0754</t>
  </si>
  <si>
    <t>NC_003888.3_cds_NP_625057.1_721</t>
  </si>
  <si>
    <t>SCO0755</t>
  </si>
  <si>
    <t>NC_003888.3_cds_NP_625058.1_722</t>
  </si>
  <si>
    <t>SCO0756</t>
  </si>
  <si>
    <t>NC_003888.3_cds_NP_625059.1_723</t>
  </si>
  <si>
    <t>THN/flaviolin</t>
  </si>
  <si>
    <t>SCO1206</t>
  </si>
  <si>
    <t>NC_003888.3_cds_NP_625495.1_1172</t>
  </si>
  <si>
    <t>SCO1207</t>
  </si>
  <si>
    <t>NC_003888.3_cds_NP_625496.1_1173</t>
  </si>
  <si>
    <t>SCO1208</t>
  </si>
  <si>
    <t>NC_003888.3_cds_NP_625497.1_1174</t>
  </si>
  <si>
    <t>PKS</t>
  </si>
  <si>
    <t>SCO1265</t>
  </si>
  <si>
    <t>NC_003888.3_cds_NP_625552.1_1231</t>
  </si>
  <si>
    <t>SCO1266</t>
  </si>
  <si>
    <t>NC_003888.3_cds_NP_625553.1_1232</t>
  </si>
  <si>
    <t>SCO1267</t>
  </si>
  <si>
    <t>NC_003888.3_cds_NP_625554.1_1233</t>
  </si>
  <si>
    <t>SCO1268</t>
  </si>
  <si>
    <t>NC_003888.3_cds_NP_625555.1_1234</t>
  </si>
  <si>
    <t>SCO1269</t>
  </si>
  <si>
    <t>NC_003888.3_cds_NP_625556.1_1235</t>
  </si>
  <si>
    <t>SCO1270</t>
  </si>
  <si>
    <t>NC_003888.3_cds_NP_625557.1_1236</t>
  </si>
  <si>
    <t>SCO1271</t>
  </si>
  <si>
    <t>NC_003888.3_cds_NP_625558.1_1237</t>
  </si>
  <si>
    <t>SCO1272</t>
  </si>
  <si>
    <t>NC_003888.3_cds_NP_625559.1_1238</t>
  </si>
  <si>
    <t>SCO1273</t>
  </si>
  <si>
    <t>NC_003888.3_cds_NP_625560.1_1239</t>
  </si>
  <si>
    <t>5-Hydroxyectoine</t>
  </si>
  <si>
    <t>SCO1864</t>
  </si>
  <si>
    <t>NC_003888.3_cds_NP_626131.1_1830</t>
  </si>
  <si>
    <t>SCO1865</t>
  </si>
  <si>
    <t>NC_003888.3_cds_NP_626132.1_1831</t>
  </si>
  <si>
    <t>SCO1866</t>
  </si>
  <si>
    <t>NC_003888.3_cds_NP_626133.1_1832</t>
  </si>
  <si>
    <t>SCO1867</t>
  </si>
  <si>
    <t>NC_003888.3_cds_NP_626134.1_1833</t>
  </si>
  <si>
    <t>Melanin</t>
  </si>
  <si>
    <t>SCO2700</t>
  </si>
  <si>
    <t>NC_003888.3_cds_NP_626934.1_2664</t>
  </si>
  <si>
    <t>SCO2701</t>
  </si>
  <si>
    <t>NC_003888.3_cds_NP_626935.1_2665</t>
  </si>
  <si>
    <t>Desferrioxamine</t>
  </si>
  <si>
    <t>SCO2782</t>
  </si>
  <si>
    <t>NC_003888.3_cds_NP_627012.1_2745</t>
  </si>
  <si>
    <t>SCO2783</t>
  </si>
  <si>
    <t>NC_003888.3_cds_NP_627013.1_2746</t>
  </si>
  <si>
    <t>SCO2784</t>
  </si>
  <si>
    <t>NC_003888.3_cds_NP_627014.1_2747</t>
  </si>
  <si>
    <t>SCO2785</t>
  </si>
  <si>
    <t>NC_003888.3_cds_NP_627015.1_2748</t>
  </si>
  <si>
    <t>CDA</t>
  </si>
  <si>
    <t>SCO3210</t>
  </si>
  <si>
    <t>NC_003888.3_cds_NP_627424.1_3169</t>
  </si>
  <si>
    <t>SCO3211</t>
  </si>
  <si>
    <t>NC_003888.3_cds_NP_627425.1_3170</t>
  </si>
  <si>
    <t>SCO3212</t>
  </si>
  <si>
    <t>NC_003888.3_cds_NP_627426.1_3171</t>
  </si>
  <si>
    <t>SCO3213</t>
  </si>
  <si>
    <t>NC_003888.3_cds_NP_627427.1_3172</t>
  </si>
  <si>
    <t>SCO3214</t>
  </si>
  <si>
    <t>NC_003888.3_cds_NP_627428.1_3173</t>
  </si>
  <si>
    <t>SCO3215</t>
  </si>
  <si>
    <t>NC_003888.3_cds_NP_627429.1_3174</t>
  </si>
  <si>
    <t>SCO3216</t>
  </si>
  <si>
    <t>NC_003888.3_cds_NP_627430.1_3175</t>
  </si>
  <si>
    <t>SCO3217</t>
  </si>
  <si>
    <t>NC_003888.3_cds_NP_627431.1_3176</t>
  </si>
  <si>
    <t>SCO3218</t>
  </si>
  <si>
    <t>NC_003888.3_cds_NP_627432.1_3177</t>
  </si>
  <si>
    <t>SCO3219</t>
  </si>
  <si>
    <t>NC_003888.3_cds_NP_627433.1_3178</t>
  </si>
  <si>
    <t>SCO3220</t>
  </si>
  <si>
    <t>NC_003888.3_cds_NP_627434.1_3179</t>
  </si>
  <si>
    <t>SCO3221</t>
  </si>
  <si>
    <t>NC_003888.3_cds_NP_627435.1_3180</t>
  </si>
  <si>
    <t>SCO3222</t>
  </si>
  <si>
    <t>NC_003888.3_cds_NP_627436.1_3181</t>
  </si>
  <si>
    <t>SCO3223</t>
  </si>
  <si>
    <t>NC_003888.3_cds_NP_627437.1_3182</t>
  </si>
  <si>
    <t>SCO3224</t>
  </si>
  <si>
    <t>NC_003888.3_cds_NP_627438.1_3183</t>
  </si>
  <si>
    <t>SCO3225</t>
  </si>
  <si>
    <t>NC_003888.3_cds_NP_627439.1_3184</t>
  </si>
  <si>
    <t>SCO3226</t>
  </si>
  <si>
    <t>NC_003888.3_cds_NP_627440.1_3185</t>
  </si>
  <si>
    <t>SCO3227</t>
  </si>
  <si>
    <t>NC_003888.3_cds_NP_733596.1_3186</t>
  </si>
  <si>
    <t>SCO3228</t>
  </si>
  <si>
    <t>NC_003888.3_cds_NP_627441.1_3187</t>
  </si>
  <si>
    <t>SCO3229</t>
  </si>
  <si>
    <t>NC_003888.3_cds_NP_627442.1_3188</t>
  </si>
  <si>
    <t>SCO3230</t>
  </si>
  <si>
    <t>NC_003888.3_cds_NP_627443.1_3189</t>
  </si>
  <si>
    <t>SCO3231</t>
  </si>
  <si>
    <t>NC_003888.3_cds_NP_627444.1_3190</t>
  </si>
  <si>
    <t>SCO3232</t>
  </si>
  <si>
    <t>NC_003888.3_cds_NP_733597.1_3191</t>
  </si>
  <si>
    <t>SCO3233</t>
  </si>
  <si>
    <t>NC_003888.3_cds_NP_627445.1_3192</t>
  </si>
  <si>
    <t>SCO3234</t>
  </si>
  <si>
    <t>NC_003888.3_cds_NP_627446.1_3193</t>
  </si>
  <si>
    <t>SCO3235</t>
  </si>
  <si>
    <t>NC_003888.3_cds_NP_627447.1_3194</t>
  </si>
  <si>
    <t>SCO3236</t>
  </si>
  <si>
    <t>NC_003888.3_cds_NP_627448.1_3195</t>
  </si>
  <si>
    <t>SCO3237</t>
  </si>
  <si>
    <t>NC_003888.3_cds_NP_627449.1_3196</t>
  </si>
  <si>
    <t>SCO3238</t>
  </si>
  <si>
    <t>NC_003888.3_cds_NP_627450.1_3197</t>
  </si>
  <si>
    <t>SCO3239</t>
  </si>
  <si>
    <t>NC_003888.3_cds_NP_627451.1_3198</t>
  </si>
  <si>
    <t>SCO3240</t>
  </si>
  <si>
    <t>NC_003888.3_cds_NP_627452.1_3199</t>
  </si>
  <si>
    <t>SCO3241</t>
  </si>
  <si>
    <t>NC_003888.3_cds_NP_627453.1_3200</t>
  </si>
  <si>
    <t>SCO3242</t>
  </si>
  <si>
    <t>NC_003888.3_cds_NP_627454.1_3201</t>
  </si>
  <si>
    <t>SCO3243</t>
  </si>
  <si>
    <t>NC_003888.3_cds_NP_627455.1_3202</t>
  </si>
  <si>
    <t>SCO3244</t>
  </si>
  <si>
    <t>NC_003888.3_cds_NP_627456.1_3203</t>
  </si>
  <si>
    <t>SCO3245</t>
  </si>
  <si>
    <t>NC_003888.3_cds_NP_627457.1_3204</t>
  </si>
  <si>
    <t>SCO3246</t>
  </si>
  <si>
    <t>NC_003888.3_cds_NP_627458.1_3205</t>
  </si>
  <si>
    <t>SCO3247</t>
  </si>
  <si>
    <t>NC_003888.3_cds_NP_627459.1_3206</t>
  </si>
  <si>
    <t>SCO3248</t>
  </si>
  <si>
    <t>NC_003888.3_cds_NP_627460.1_3207</t>
  </si>
  <si>
    <t>SCO3249</t>
  </si>
  <si>
    <t>NC_003888.3_cds_NP_627461.1_3208</t>
  </si>
  <si>
    <t>Actinorhodin</t>
  </si>
  <si>
    <t>SCO5071</t>
  </si>
  <si>
    <t>NC_003888.3_cds_NP_629222.1_5024</t>
  </si>
  <si>
    <t>SCO5072</t>
  </si>
  <si>
    <t>NC_003888.3_cds_NP_629223.1_5025</t>
  </si>
  <si>
    <t>SCO5073</t>
  </si>
  <si>
    <t>NC_003888.3_cds_NP_629224.1_5026</t>
  </si>
  <si>
    <t>SCO5074</t>
  </si>
  <si>
    <t>NC_003888.3_cds_NP_629225.1_5027</t>
  </si>
  <si>
    <t>SCO5075</t>
  </si>
  <si>
    <t>NC_003888.3_cds_NP_733654.1_5028</t>
  </si>
  <si>
    <t>SCO5076</t>
  </si>
  <si>
    <t>NC_003888.3_cds_NP_629226.1_5029</t>
  </si>
  <si>
    <t>SCO5077</t>
  </si>
  <si>
    <t>NC_003888.3_cds_NP_629227.1_5030</t>
  </si>
  <si>
    <t>SCO5078</t>
  </si>
  <si>
    <t>NC_003888.3_cds_NP_629228.1_5031</t>
  </si>
  <si>
    <t>SCO5079</t>
  </si>
  <si>
    <t>NC_003888.3_cds_NP_629229.1_5032</t>
  </si>
  <si>
    <t>SCO5080</t>
  </si>
  <si>
    <t>NC_003888.3_cds_NP_629230.1_5033</t>
  </si>
  <si>
    <t>SCO5081</t>
  </si>
  <si>
    <t>NC_003888.3_cds_NP_629231.1_5034</t>
  </si>
  <si>
    <t>SCO5082</t>
  </si>
  <si>
    <t>NC_003888.3_cds_NP_629232.1_5035</t>
  </si>
  <si>
    <t>SCO5083</t>
  </si>
  <si>
    <t>NC_003888.3_cds_NP_629233.1_5036</t>
  </si>
  <si>
    <t>SCO5084</t>
  </si>
  <si>
    <t>NC_003888.3_cds_NP_629234.1_5037</t>
  </si>
  <si>
    <t>SCO5085</t>
  </si>
  <si>
    <t>NC_003888.3_cds_NP_629235.1_5038</t>
  </si>
  <si>
    <t>SCO5086</t>
  </si>
  <si>
    <t>NC_003888.3_cds_NP_629236.1_5039</t>
  </si>
  <si>
    <t>SCO5087</t>
  </si>
  <si>
    <t>NC_003888.3_cds_NP_629237.1_5040</t>
  </si>
  <si>
    <t>SCO5088</t>
  </si>
  <si>
    <t>NC_003888.3_cds_NP_629238.1_5041</t>
  </si>
  <si>
    <t>SCO5089</t>
  </si>
  <si>
    <t>NC_003888.3_cds_NP_629239.1_5042</t>
  </si>
  <si>
    <t>SCO5090</t>
  </si>
  <si>
    <t>NC_003888.3_cds_NP_629240.1_5043</t>
  </si>
  <si>
    <t>SCO5091</t>
  </si>
  <si>
    <t>NC_003888.3_cds_NP_629241.1_5044</t>
  </si>
  <si>
    <t>SCO5092</t>
  </si>
  <si>
    <t>NC_003888.3_cds_NP_629242.1_5045</t>
  </si>
  <si>
    <t>Albaflavenone</t>
  </si>
  <si>
    <t>SCO5222</t>
  </si>
  <si>
    <t>NC_003888.3_cds_NP_629369.1_5175</t>
  </si>
  <si>
    <t>SCO5223</t>
  </si>
  <si>
    <t>NC_003888.3_cds_NP_629370.1_5176</t>
  </si>
  <si>
    <t>Gray spore pigment</t>
  </si>
  <si>
    <t>SCO5314</t>
  </si>
  <si>
    <t>NC_003888.3_cds_NP_629456.1_5265</t>
  </si>
  <si>
    <t>SCO5315</t>
  </si>
  <si>
    <t>NC_003888.3_cds_NP_629457.1_5266</t>
  </si>
  <si>
    <t>SCO5316</t>
  </si>
  <si>
    <t>NC_003888.3_cds_NP_629458.1_5267</t>
  </si>
  <si>
    <t>SCO5317</t>
  </si>
  <si>
    <t>NC_003888.3_cds_NP_629459.1_5268</t>
  </si>
  <si>
    <t>SCO5318</t>
  </si>
  <si>
    <t>NC_003888.3_cds_NP_629460.1_5269</t>
  </si>
  <si>
    <t>SCO5319</t>
  </si>
  <si>
    <t>NC_003888.3_cds_NP_629461.1_5270</t>
  </si>
  <si>
    <t>SCO5320</t>
  </si>
  <si>
    <t>NC_003888.3_cds_NP_629462.1_5271</t>
  </si>
  <si>
    <t>Siderophore</t>
  </si>
  <si>
    <t>SCO5799</t>
  </si>
  <si>
    <t>NC_003888.3_cds_NP_629923.1_5746</t>
  </si>
  <si>
    <t>SCO5800</t>
  </si>
  <si>
    <t>NC_003888.3_cds_NP_629924.1_5747</t>
  </si>
  <si>
    <t>SCO5801</t>
  </si>
  <si>
    <t>NC_003888.3_cds_NP_629925.1_5748</t>
  </si>
  <si>
    <t>Prodiginine</t>
  </si>
  <si>
    <t>SCO5877</t>
  </si>
  <si>
    <t>NC_003888.3_cds_NP_629999.1_5824</t>
  </si>
  <si>
    <t>SCO5878</t>
  </si>
  <si>
    <t>NC_003888.3_cds_NP_630000.1_5825</t>
  </si>
  <si>
    <t>SCO5879</t>
  </si>
  <si>
    <t>NC_003888.3_cds_NP_630001.1_5826</t>
  </si>
  <si>
    <t>SCO5880</t>
  </si>
  <si>
    <t>NC_003888.3_cds_NP_630002.1_5827</t>
  </si>
  <si>
    <t>SCO5881</t>
  </si>
  <si>
    <t>NC_003888.3_cds_NP_733677.1_5828</t>
  </si>
  <si>
    <t>SCO5882</t>
  </si>
  <si>
    <t>NC_003888.3_cds_NP_630003.1_5829</t>
  </si>
  <si>
    <t>SCO5883</t>
  </si>
  <si>
    <t>NC_003888.3_cds_NP_630004.1_5830</t>
  </si>
  <si>
    <t>SCO5884</t>
  </si>
  <si>
    <t>NC_003888.3_cds_NP_630005.1_5831</t>
  </si>
  <si>
    <t>SCO5885</t>
  </si>
  <si>
    <t>NC_003888.3_cds_NP_630006.1_5832</t>
  </si>
  <si>
    <t>SCO5886</t>
  </si>
  <si>
    <t>NC_003888.3_cds_NP_630007.1_5833</t>
  </si>
  <si>
    <t>SCO5887</t>
  </si>
  <si>
    <t>NC_003888.3_cds_NP_630008.1_5834</t>
  </si>
  <si>
    <t>SCO5888</t>
  </si>
  <si>
    <t>NC_003888.3_cds_NP_630009.1_5835</t>
  </si>
  <si>
    <t>SCO5889</t>
  </si>
  <si>
    <t>NC_003888.3_cds_NP_630010.1_5836</t>
  </si>
  <si>
    <t>SCO5890</t>
  </si>
  <si>
    <t>NC_003888.3_cds_NP_630011.1_5837</t>
  </si>
  <si>
    <t>SCO5891</t>
  </si>
  <si>
    <t>NC_003888.3_cds_NP_630012.1_5838</t>
  </si>
  <si>
    <t>SCO5892</t>
  </si>
  <si>
    <t>NC_003888.3_cds_NP_630013.1_5839</t>
  </si>
  <si>
    <t>SCO5893</t>
  </si>
  <si>
    <t>NC_003888.3_cds_NP_630014.1_5840</t>
  </si>
  <si>
    <t>SCO5894</t>
  </si>
  <si>
    <t>NC_003888.3_cds_NP_630015.1_5841</t>
  </si>
  <si>
    <t>SCO5895</t>
  </si>
  <si>
    <t>NC_003888.3_cds_NP_630016.1_5842</t>
  </si>
  <si>
    <t>SCO5896</t>
  </si>
  <si>
    <t>NC_003888.3_cds_NP_733678.1_5843</t>
  </si>
  <si>
    <t>SCO5897</t>
  </si>
  <si>
    <t>NC_003888.3_cds_NP_630017.1_5844</t>
  </si>
  <si>
    <t>SCO5898</t>
  </si>
  <si>
    <t>NC_003888.3_cds_NP_630018.1_5845</t>
  </si>
  <si>
    <t>Geosmin</t>
  </si>
  <si>
    <t>SCO6073</t>
  </si>
  <si>
    <t>NC_003888.3_cds_NP_630182.1_6016</t>
  </si>
  <si>
    <t>SCB1</t>
  </si>
  <si>
    <t>SCO6266</t>
  </si>
  <si>
    <t>NC_003888.3_cds_NP_630366.1_6209</t>
  </si>
  <si>
    <t>Coelimycin P1</t>
  </si>
  <si>
    <t>SCO6273</t>
  </si>
  <si>
    <t>NC_003888.3_cds_NP_630372.1_6216</t>
  </si>
  <si>
    <t>SCO6274</t>
  </si>
  <si>
    <t>NC_003888.3_cds_NP_630373.1_6217</t>
  </si>
  <si>
    <t>SCO6275</t>
  </si>
  <si>
    <t>NC_003888.3_cds_NP_733695.1_6218</t>
  </si>
  <si>
    <t>SCO6276</t>
  </si>
  <si>
    <t>NC_003888.3_cds_NP_630374.1_6219</t>
  </si>
  <si>
    <t>SCO6277</t>
  </si>
  <si>
    <t>NC_003888.3_cds_NP_630375.1_6220</t>
  </si>
  <si>
    <t>SCO6278</t>
  </si>
  <si>
    <t>NC_003888.3_cds_NP_630376.1_6221</t>
  </si>
  <si>
    <t>SCO6279</t>
  </si>
  <si>
    <t>NC_003888.3_cds_NP_630377.1_6222</t>
  </si>
  <si>
    <t>SCO6280</t>
  </si>
  <si>
    <t>NC_003888.3_cds_NP_630378.1_6223</t>
  </si>
  <si>
    <t>SCO6281</t>
  </si>
  <si>
    <t>NC_003888.3_cds_NP_630379.1_6224</t>
  </si>
  <si>
    <t>SCO6282</t>
  </si>
  <si>
    <t>NC_003888.3_cds_NP_630380.1_6225</t>
  </si>
  <si>
    <t>SCO6283</t>
  </si>
  <si>
    <t>NC_003888.3_cds_NP_630381.1_6226</t>
  </si>
  <si>
    <t>SCO6284</t>
  </si>
  <si>
    <t>NC_003888.3_cds_NP_630382.1_6227</t>
  </si>
  <si>
    <t>SCO6285</t>
  </si>
  <si>
    <t>NC_003888.3_cds_NP_630383.1_6228</t>
  </si>
  <si>
    <t>SCO6286</t>
  </si>
  <si>
    <t>NC_003888.3_cds_NP_630384.1_6229</t>
  </si>
  <si>
    <t>SCO6287</t>
  </si>
  <si>
    <t>NC_003888.3_cds_NP_630385.1_6230</t>
  </si>
  <si>
    <t>SCO6288</t>
  </si>
  <si>
    <t>NC_003888.3_cds_NP_630386.1_6231</t>
  </si>
  <si>
    <t>Dipeptide</t>
  </si>
  <si>
    <t>SCO6429</t>
  </si>
  <si>
    <t>NC_003888.3_cds_NP_630515.1_6365</t>
  </si>
  <si>
    <t>SCO6430</t>
  </si>
  <si>
    <t>NC_003888.3_cds_NP_630516.1_6366</t>
  </si>
  <si>
    <t>SCO6431</t>
  </si>
  <si>
    <t>NC_003888.3_cds_NP_630517.1_6367</t>
  </si>
  <si>
    <t>SCO6432</t>
  </si>
  <si>
    <t>NC_003888.3_cds_NP_630518.1_6368</t>
  </si>
  <si>
    <t>SCO6433</t>
  </si>
  <si>
    <t>NC_003888.3_cds_NP_630519.1_6369</t>
  </si>
  <si>
    <t>SCO6434</t>
  </si>
  <si>
    <t>NC_003888.3_cds_NP_733701.1_6370</t>
  </si>
  <si>
    <t>SCO6435</t>
  </si>
  <si>
    <t>NC_003888.3_cds_NP_630520.1_6371</t>
  </si>
  <si>
    <t>SCO6436</t>
  </si>
  <si>
    <t>NC_003888.3_cds_NP_630521.1_6372</t>
  </si>
  <si>
    <t>SCO6437</t>
  </si>
  <si>
    <t>NC_003888.3_cds_NP_630522.1_6373</t>
  </si>
  <si>
    <t>SCO6438</t>
  </si>
  <si>
    <t>NC_003888.3_cds_NP_630523.1_6374</t>
  </si>
  <si>
    <t>SapB</t>
  </si>
  <si>
    <t>SCO6681</t>
  </si>
  <si>
    <t>NC_003888.3_cds_NP_630756.1_6616</t>
  </si>
  <si>
    <t>SCO6682</t>
  </si>
  <si>
    <t>NC_003888.3_cds_NP_630757.1_6617</t>
  </si>
  <si>
    <t>SCO6683</t>
  </si>
  <si>
    <t>NC_003888.3_cds_NP_630758.1_6618</t>
  </si>
  <si>
    <t>SCO6684</t>
  </si>
  <si>
    <t>NC_003888.3_cds_NP_630759.1_6619</t>
  </si>
  <si>
    <t>SCO6685</t>
  </si>
  <si>
    <t>NC_003888.3_cds_NP_733711.1_6620</t>
  </si>
  <si>
    <t>Hopene</t>
  </si>
  <si>
    <t>SCO6759</t>
  </si>
  <si>
    <t>NC_003888.3_cds_NP_630831.1_6694</t>
  </si>
  <si>
    <t>SCO6760</t>
  </si>
  <si>
    <t>NC_003888.3_cds_NP_630832.1_6695</t>
  </si>
  <si>
    <t>SCO6761</t>
  </si>
  <si>
    <t>NC_003888.3_cds_NP_630833.1_6696</t>
  </si>
  <si>
    <t>SCO6762</t>
  </si>
  <si>
    <t>NC_003888.3_cds_NP_630834.1_6697</t>
  </si>
  <si>
    <t>SCO6763</t>
  </si>
  <si>
    <t>NC_003888.3_cds_NP_630835.1_6698</t>
  </si>
  <si>
    <t>SCO6764</t>
  </si>
  <si>
    <t>NC_003888.3_cds_NP_630836.1_6699</t>
  </si>
  <si>
    <t>SCO6765</t>
  </si>
  <si>
    <t>NC_003888.3_cds_NP_630837.1_6700</t>
  </si>
  <si>
    <t>SCO6766</t>
  </si>
  <si>
    <t>NC_003888.3_cds_NP_630838.1_6701</t>
  </si>
  <si>
    <t>SCO6767</t>
  </si>
  <si>
    <t>NC_003888.3_cds_NP_630839.1_6702</t>
  </si>
  <si>
    <t>SCO6768</t>
  </si>
  <si>
    <t>NC_003888.3_cds_NP_630840.1_6703</t>
  </si>
  <si>
    <t>SCO6769</t>
  </si>
  <si>
    <t>NC_003888.3_cds_NP_630841.1_6704</t>
  </si>
  <si>
    <t>SCO6770</t>
  </si>
  <si>
    <t>NC_003888.3_cds_NP_630842.1_6705</t>
  </si>
  <si>
    <t>SCO6771</t>
  </si>
  <si>
    <t>NC_003888.3_cds_NP_630843.1_6706</t>
  </si>
  <si>
    <t>SCO6826</t>
  </si>
  <si>
    <t>NC_003888.3_cds_NP_630897.1_6761</t>
  </si>
  <si>
    <t>SCO6827</t>
  </si>
  <si>
    <t>NC_003888.3_cds_NP_630898.1_6762</t>
  </si>
  <si>
    <t>SCO6927</t>
  </si>
  <si>
    <t>NC_003888.3_cds_NP_630994.1_6860</t>
  </si>
  <si>
    <t>SCO6928</t>
  </si>
  <si>
    <t>NC_003888.3_cds_NP_630995.1_6861</t>
  </si>
  <si>
    <t>SCO6929</t>
  </si>
  <si>
    <t>NC_003888.3_cds_NP_733718.1_6862</t>
  </si>
  <si>
    <t>SCO6930</t>
  </si>
  <si>
    <t>NC_003888.3_cds_NP_630996.1_6863</t>
  </si>
  <si>
    <t>SCO6931</t>
  </si>
  <si>
    <t>NC_003888.3_cds_NP_630997.1_6864</t>
  </si>
  <si>
    <t>SCO6932</t>
  </si>
  <si>
    <t>NC_003888.3_cds_NP_630998.1_6865</t>
  </si>
  <si>
    <t>Germicidin</t>
  </si>
  <si>
    <t>SCO7221</t>
  </si>
  <si>
    <t>NC_003888.3_cds_NP_631277.1_7153</t>
  </si>
  <si>
    <t>SCO7669</t>
  </si>
  <si>
    <t>NC_003888.3_cds_NP_631708.1_7598</t>
  </si>
  <si>
    <t>SCO7670</t>
  </si>
  <si>
    <t>NC_003888.3_cds_NP_631709.1_7599</t>
  </si>
  <si>
    <t>SCO7671</t>
  </si>
  <si>
    <t>NC_003888.3_cds_NP_631710.1_7600</t>
  </si>
  <si>
    <t>Coelibactin</t>
  </si>
  <si>
    <t>SCO7681</t>
  </si>
  <si>
    <t>NC_003888.3_cds_NP_631720.1_7610</t>
  </si>
  <si>
    <t>SCO7682</t>
  </si>
  <si>
    <t>NC_003888.3_cds_NP_631721.1_7611</t>
  </si>
  <si>
    <t>SCO7683</t>
  </si>
  <si>
    <t>NC_003888.3_cds_NP_631722.1_7612</t>
  </si>
  <si>
    <t>SCO7684</t>
  </si>
  <si>
    <t>NC_003888.3_cds_NP_631723.1_7613</t>
  </si>
  <si>
    <t>SCO7685</t>
  </si>
  <si>
    <t>NC_003888.3_cds_NP_631724.1_7614</t>
  </si>
  <si>
    <t>SCO7686</t>
  </si>
  <si>
    <t>NC_003888.3_cds_NP_631725.1_7615</t>
  </si>
  <si>
    <t>SCO7687</t>
  </si>
  <si>
    <t>NC_003888.3_cds_NP_631726.1_7616</t>
  </si>
  <si>
    <t>SCO7688</t>
  </si>
  <si>
    <t>NC_003888.3_cds_NP_631727.1_7617</t>
  </si>
  <si>
    <t>SCO7689</t>
  </si>
  <si>
    <t>NC_003888.3_cds_NP_631728.1_7618</t>
  </si>
  <si>
    <t>SCO7690</t>
  </si>
  <si>
    <t>NC_003888.3_cds_NP_631729.1_7619</t>
  </si>
  <si>
    <t>SCO7691</t>
  </si>
  <si>
    <t>NC_003888.3_cds_NP_631730.1_7620</t>
  </si>
  <si>
    <t>2-Methylisoborneol</t>
  </si>
  <si>
    <t>SCO7700</t>
  </si>
  <si>
    <t>NC_003888.3_cds_NP_733742.1_7629</t>
  </si>
  <si>
    <t>SCO7701</t>
  </si>
  <si>
    <t>NC_003888.3_cds_NP_631739.1_7630</t>
  </si>
  <si>
    <t>Lengh (kb)</t>
    <phoneticPr fontId="5" type="noConversion"/>
  </si>
  <si>
    <t>Start (bp)</t>
    <phoneticPr fontId="5" type="noConversion"/>
  </si>
  <si>
    <t>End (bp)</t>
    <phoneticPr fontId="5" type="noConversion"/>
  </si>
  <si>
    <t>Cluster name / production</t>
    <phoneticPr fontId="5" type="noConversion"/>
  </si>
  <si>
    <t>BGC information</t>
    <phoneticPr fontId="5" type="noConversion"/>
  </si>
  <si>
    <t>Note: ND, not detected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</si>
</sst>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charset val="134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5"/>
  <sheetViews>
    <sheetView tabSelected="1" zoomScale="115" zoomScaleNormal="115" workbookViewId="0">
      <selection sqref="A1:XFD1"/>
    </sheetView>
  </sheetViews>
  <sheetFormatPr defaultColWidth="9" defaultRowHeight="14.25" x14ac:dyDescent="0.2"/>
  <cols>
    <col min="1" max="1" width="28.875" style="11" bestFit="1" customWidth="1"/>
    <col min="2" max="2" width="12.75" style="12" bestFit="1" customWidth="1"/>
    <col min="3" max="3" width="11.25" style="11" bestFit="1" customWidth="1"/>
    <col min="4" max="4" width="10.125" style="11" bestFit="1" customWidth="1"/>
    <col min="5" max="5" width="10.875" style="11" bestFit="1" customWidth="1"/>
    <col min="6" max="6" width="41.625" style="11" bestFit="1" customWidth="1"/>
    <col min="7" max="8" width="14.625" style="11" bestFit="1" customWidth="1"/>
    <col min="9" max="9" width="13.625" style="11" customWidth="1"/>
    <col min="10" max="14" width="14.625" style="11" bestFit="1" customWidth="1"/>
    <col min="15" max="16384" width="9" style="6"/>
  </cols>
  <sheetData>
    <row r="1" spans="1:14" s="14" customFormat="1" ht="26.25" customHeight="1" x14ac:dyDescent="0.2">
      <c r="A1" s="14" t="s">
        <v>481</v>
      </c>
    </row>
    <row r="2" spans="1:14" s="1" customFormat="1" ht="15.75" x14ac:dyDescent="0.25">
      <c r="A2" s="15" t="s">
        <v>480</v>
      </c>
      <c r="B2" s="20" t="s">
        <v>477</v>
      </c>
      <c r="C2" s="15" t="s">
        <v>478</v>
      </c>
      <c r="D2" s="15" t="s">
        <v>479</v>
      </c>
      <c r="E2" s="15" t="s">
        <v>0</v>
      </c>
      <c r="F2" s="15" t="s">
        <v>1</v>
      </c>
      <c r="G2" s="15" t="s">
        <v>2</v>
      </c>
      <c r="H2" s="15"/>
      <c r="I2" s="15"/>
      <c r="J2" s="15"/>
      <c r="K2" s="15" t="s">
        <v>3</v>
      </c>
      <c r="L2" s="15"/>
      <c r="M2" s="15"/>
      <c r="N2" s="15"/>
    </row>
    <row r="3" spans="1:14" s="1" customFormat="1" ht="15.75" x14ac:dyDescent="0.25">
      <c r="A3" s="15"/>
      <c r="B3" s="20"/>
      <c r="C3" s="15"/>
      <c r="D3" s="15"/>
      <c r="E3" s="15"/>
      <c r="F3" s="15"/>
      <c r="G3" s="2" t="s">
        <v>4</v>
      </c>
      <c r="H3" s="2" t="s">
        <v>5</v>
      </c>
      <c r="I3" s="2" t="s">
        <v>6</v>
      </c>
      <c r="J3" s="2" t="s">
        <v>7</v>
      </c>
      <c r="K3" s="2" t="s">
        <v>4</v>
      </c>
      <c r="L3" s="2" t="s">
        <v>5</v>
      </c>
      <c r="M3" s="2" t="s">
        <v>6</v>
      </c>
      <c r="N3" s="2" t="s">
        <v>8</v>
      </c>
    </row>
    <row r="4" spans="1:14" s="4" customFormat="1" ht="15" x14ac:dyDescent="0.2">
      <c r="A4" s="16" t="s">
        <v>9</v>
      </c>
      <c r="B4" s="21">
        <v>16.587</v>
      </c>
      <c r="C4" s="3">
        <v>103628</v>
      </c>
      <c r="D4" s="3">
        <v>104989</v>
      </c>
      <c r="E4" s="3" t="s">
        <v>10</v>
      </c>
      <c r="F4" s="3" t="s">
        <v>11</v>
      </c>
      <c r="G4" s="3" t="s">
        <v>12</v>
      </c>
      <c r="H4" s="3" t="s">
        <v>12</v>
      </c>
      <c r="I4" s="3" t="s">
        <v>12</v>
      </c>
      <c r="J4" s="3">
        <v>0</v>
      </c>
      <c r="K4" s="3" t="s">
        <v>12</v>
      </c>
      <c r="L4" s="3">
        <v>0.19944230600000001</v>
      </c>
      <c r="M4" s="3">
        <v>0.50840911899999996</v>
      </c>
      <c r="N4" s="3">
        <v>0.35392571299999998</v>
      </c>
    </row>
    <row r="5" spans="1:14" s="4" customFormat="1" ht="15" x14ac:dyDescent="0.2">
      <c r="A5" s="16"/>
      <c r="B5" s="21"/>
      <c r="C5" s="3">
        <v>105057</v>
      </c>
      <c r="D5" s="3">
        <v>106640</v>
      </c>
      <c r="E5" s="3" t="s">
        <v>13</v>
      </c>
      <c r="F5" s="3" t="s">
        <v>14</v>
      </c>
      <c r="G5" s="3" t="s">
        <v>12</v>
      </c>
      <c r="H5" s="3" t="s">
        <v>12</v>
      </c>
      <c r="I5" s="3" t="s">
        <v>12</v>
      </c>
      <c r="J5" s="3">
        <v>0</v>
      </c>
      <c r="K5" s="3">
        <v>4.4902242000000002E-2</v>
      </c>
      <c r="L5" s="3">
        <v>0.30010778799999999</v>
      </c>
      <c r="M5" s="3" t="s">
        <v>12</v>
      </c>
      <c r="N5" s="3">
        <v>0.17250501500000001</v>
      </c>
    </row>
    <row r="6" spans="1:14" s="4" customFormat="1" ht="15" x14ac:dyDescent="0.2">
      <c r="A6" s="16"/>
      <c r="B6" s="21"/>
      <c r="C6" s="3">
        <v>106637</v>
      </c>
      <c r="D6" s="3">
        <v>112885</v>
      </c>
      <c r="E6" s="3" t="s">
        <v>15</v>
      </c>
      <c r="F6" s="3" t="s">
        <v>16</v>
      </c>
      <c r="G6" s="3">
        <v>9.2195385000000005E-2</v>
      </c>
      <c r="H6" s="3">
        <v>0.12904929500000001</v>
      </c>
      <c r="I6" s="3">
        <v>0.29672809500000003</v>
      </c>
      <c r="J6" s="3">
        <v>0.172657592</v>
      </c>
      <c r="K6" s="3">
        <v>0.15934583499999999</v>
      </c>
      <c r="L6" s="3">
        <v>0.45642893600000001</v>
      </c>
      <c r="M6" s="3">
        <v>0.26317433200000001</v>
      </c>
      <c r="N6" s="3">
        <v>0.29298303399999998</v>
      </c>
    </row>
    <row r="7" spans="1:14" s="4" customFormat="1" ht="15" x14ac:dyDescent="0.2">
      <c r="A7" s="16"/>
      <c r="B7" s="21"/>
      <c r="C7" s="3">
        <v>112932</v>
      </c>
      <c r="D7" s="3">
        <v>119654</v>
      </c>
      <c r="E7" s="3" t="s">
        <v>17</v>
      </c>
      <c r="F7" s="3" t="s">
        <v>18</v>
      </c>
      <c r="G7" s="3">
        <v>8.5695220000000003E-2</v>
      </c>
      <c r="H7" s="3">
        <v>0.20391631399999999</v>
      </c>
      <c r="I7" s="3">
        <v>0.20961370500000001</v>
      </c>
      <c r="J7" s="3">
        <v>0.16640841300000001</v>
      </c>
      <c r="K7" s="3">
        <v>0.40201632599999998</v>
      </c>
      <c r="L7" s="3">
        <v>0.4141476</v>
      </c>
      <c r="M7" s="3">
        <v>0.23174471899999999</v>
      </c>
      <c r="N7" s="3">
        <v>0.34930288199999998</v>
      </c>
    </row>
    <row r="8" spans="1:14" s="4" customFormat="1" ht="15" x14ac:dyDescent="0.2">
      <c r="A8" s="16"/>
      <c r="B8" s="21"/>
      <c r="C8" s="3">
        <v>119651</v>
      </c>
      <c r="D8" s="3">
        <v>119833</v>
      </c>
      <c r="E8" s="3" t="s">
        <v>19</v>
      </c>
      <c r="F8" s="3" t="s">
        <v>20</v>
      </c>
      <c r="G8" s="3" t="s">
        <v>12</v>
      </c>
      <c r="H8" s="3" t="s">
        <v>12</v>
      </c>
      <c r="I8" s="3" t="s">
        <v>12</v>
      </c>
      <c r="J8" s="3">
        <v>0</v>
      </c>
      <c r="K8" s="3" t="s">
        <v>12</v>
      </c>
      <c r="L8" s="3">
        <v>0.37109347100000001</v>
      </c>
      <c r="M8" s="3" t="s">
        <v>12</v>
      </c>
      <c r="N8" s="3">
        <v>0.37109347100000001</v>
      </c>
    </row>
    <row r="9" spans="1:14" s="4" customFormat="1" ht="15" x14ac:dyDescent="0.2">
      <c r="A9" s="16"/>
      <c r="B9" s="21"/>
      <c r="C9" s="3">
        <v>119841</v>
      </c>
      <c r="D9" s="3">
        <v>120215</v>
      </c>
      <c r="E9" s="3" t="s">
        <v>21</v>
      </c>
      <c r="F9" s="3" t="s">
        <v>22</v>
      </c>
      <c r="G9" s="3" t="s">
        <v>12</v>
      </c>
      <c r="H9" s="3" t="s">
        <v>12</v>
      </c>
      <c r="I9" s="3" t="s">
        <v>12</v>
      </c>
      <c r="J9" s="3">
        <v>0</v>
      </c>
      <c r="K9" s="3" t="s">
        <v>12</v>
      </c>
      <c r="L9" s="3" t="s">
        <v>12</v>
      </c>
      <c r="M9" s="3" t="s">
        <v>12</v>
      </c>
      <c r="N9" s="3">
        <v>0</v>
      </c>
    </row>
    <row r="10" spans="1:14" ht="15" x14ac:dyDescent="0.2">
      <c r="A10" s="17" t="s">
        <v>23</v>
      </c>
      <c r="B10" s="22">
        <v>8.27</v>
      </c>
      <c r="C10" s="5">
        <v>173768</v>
      </c>
      <c r="D10" s="5">
        <v>174946</v>
      </c>
      <c r="E10" s="5" t="s">
        <v>24</v>
      </c>
      <c r="F10" s="5" t="s">
        <v>25</v>
      </c>
      <c r="G10" s="5">
        <v>21.989654989999998</v>
      </c>
      <c r="H10" s="5">
        <v>24.00819297</v>
      </c>
      <c r="I10" s="5">
        <v>23.716834859999999</v>
      </c>
      <c r="J10" s="5">
        <v>23.238227609999999</v>
      </c>
      <c r="K10" s="5">
        <v>3.7402539400000001</v>
      </c>
      <c r="L10" s="5">
        <v>7.5455672470000001</v>
      </c>
      <c r="M10" s="5">
        <v>5.6529790069999999</v>
      </c>
      <c r="N10" s="5">
        <v>5.6462667309999999</v>
      </c>
    </row>
    <row r="11" spans="1:14" ht="15" x14ac:dyDescent="0.2">
      <c r="A11" s="17"/>
      <c r="B11" s="22"/>
      <c r="C11" s="5">
        <v>174943</v>
      </c>
      <c r="D11" s="5">
        <v>176514</v>
      </c>
      <c r="E11" s="5" t="s">
        <v>26</v>
      </c>
      <c r="F11" s="5" t="s">
        <v>27</v>
      </c>
      <c r="G11" s="5">
        <v>15.30113493</v>
      </c>
      <c r="H11" s="5">
        <v>18.467840750000001</v>
      </c>
      <c r="I11" s="5">
        <v>16.37216518</v>
      </c>
      <c r="J11" s="5">
        <v>16.71371362</v>
      </c>
      <c r="K11" s="5">
        <v>4.8864607920000003</v>
      </c>
      <c r="L11" s="5">
        <v>5.0543780600000003</v>
      </c>
      <c r="M11" s="5">
        <v>3.7992423839999998</v>
      </c>
      <c r="N11" s="5">
        <v>4.5800270789999997</v>
      </c>
    </row>
    <row r="12" spans="1:14" ht="15" x14ac:dyDescent="0.2">
      <c r="A12" s="17"/>
      <c r="B12" s="22"/>
      <c r="C12" s="5">
        <v>176501</v>
      </c>
      <c r="D12" s="5">
        <v>177496</v>
      </c>
      <c r="E12" s="5" t="s">
        <v>28</v>
      </c>
      <c r="F12" s="5" t="s">
        <v>29</v>
      </c>
      <c r="G12" s="5">
        <v>12.36421339</v>
      </c>
      <c r="H12" s="5">
        <v>13.926284730000001</v>
      </c>
      <c r="I12" s="5">
        <v>12.436160470000001</v>
      </c>
      <c r="J12" s="5">
        <v>12.9088862</v>
      </c>
      <c r="K12" s="5">
        <v>3.3563073509999999</v>
      </c>
      <c r="L12" s="5">
        <v>3.1364104820000001</v>
      </c>
      <c r="M12" s="5">
        <v>3.302362247</v>
      </c>
      <c r="N12" s="5">
        <v>3.2650266929999998</v>
      </c>
    </row>
    <row r="13" spans="1:14" ht="15" x14ac:dyDescent="0.2">
      <c r="A13" s="17"/>
      <c r="B13" s="22"/>
      <c r="C13" s="5">
        <v>177493</v>
      </c>
      <c r="D13" s="5">
        <v>178503</v>
      </c>
      <c r="E13" s="5" t="s">
        <v>30</v>
      </c>
      <c r="F13" s="5" t="s">
        <v>31</v>
      </c>
      <c r="G13" s="5">
        <v>5.4849072669999996</v>
      </c>
      <c r="H13" s="5">
        <v>11.805291670000001</v>
      </c>
      <c r="I13" s="5">
        <v>6.5293212299999999</v>
      </c>
      <c r="J13" s="5">
        <v>7.9398400560000004</v>
      </c>
      <c r="K13" s="5">
        <v>2.9547540699999999</v>
      </c>
      <c r="L13" s="5">
        <v>4.3661294159999997</v>
      </c>
      <c r="M13" s="5">
        <v>1.541067999</v>
      </c>
      <c r="N13" s="5">
        <v>2.9539838280000001</v>
      </c>
    </row>
    <row r="14" spans="1:14" ht="15" x14ac:dyDescent="0.2">
      <c r="A14" s="17"/>
      <c r="B14" s="22"/>
      <c r="C14" s="5">
        <v>178519</v>
      </c>
      <c r="D14" s="5">
        <v>180087</v>
      </c>
      <c r="E14" s="5" t="s">
        <v>32</v>
      </c>
      <c r="F14" s="5" t="s">
        <v>33</v>
      </c>
      <c r="G14" s="5">
        <v>11.24534699</v>
      </c>
      <c r="H14" s="5">
        <v>13.51758057</v>
      </c>
      <c r="I14" s="5">
        <v>9.5489937779999998</v>
      </c>
      <c r="J14" s="5">
        <v>11.437307110000001</v>
      </c>
      <c r="K14" s="5">
        <v>3.6718529470000001</v>
      </c>
      <c r="L14" s="5">
        <v>4.2849588379999997</v>
      </c>
      <c r="M14" s="5">
        <v>4.3030075849999996</v>
      </c>
      <c r="N14" s="5">
        <v>4.0866064570000002</v>
      </c>
    </row>
    <row r="15" spans="1:14" ht="15" x14ac:dyDescent="0.2">
      <c r="A15" s="17"/>
      <c r="B15" s="22"/>
      <c r="C15" s="5">
        <v>180084</v>
      </c>
      <c r="D15" s="5">
        <v>180824</v>
      </c>
      <c r="E15" s="5" t="s">
        <v>34</v>
      </c>
      <c r="F15" s="5" t="s">
        <v>35</v>
      </c>
      <c r="G15" s="5">
        <v>17.688169850000001</v>
      </c>
      <c r="H15" s="5">
        <v>11.535962059999999</v>
      </c>
      <c r="I15" s="5">
        <v>14.213443939999999</v>
      </c>
      <c r="J15" s="5">
        <v>14.479191950000001</v>
      </c>
      <c r="K15" s="5">
        <v>3.359487589</v>
      </c>
      <c r="L15" s="5">
        <v>5.7737336419999998</v>
      </c>
      <c r="M15" s="5">
        <v>5.0228556830000004</v>
      </c>
      <c r="N15" s="5">
        <v>4.7186923050000003</v>
      </c>
    </row>
    <row r="16" spans="1:14" ht="15" x14ac:dyDescent="0.2">
      <c r="A16" s="17"/>
      <c r="B16" s="22"/>
      <c r="C16" s="5">
        <v>180821</v>
      </c>
      <c r="D16" s="5">
        <v>182038</v>
      </c>
      <c r="E16" s="5" t="s">
        <v>36</v>
      </c>
      <c r="F16" s="5" t="s">
        <v>37</v>
      </c>
      <c r="G16" s="5">
        <v>13.126090850000001</v>
      </c>
      <c r="H16" s="5">
        <v>16.486111040000001</v>
      </c>
      <c r="I16" s="5">
        <v>11.08289667</v>
      </c>
      <c r="J16" s="5">
        <v>13.56503285</v>
      </c>
      <c r="K16" s="5">
        <v>2.978146739</v>
      </c>
      <c r="L16" s="5">
        <v>4.2374121479999998</v>
      </c>
      <c r="M16" s="5">
        <v>2.2740664060000002</v>
      </c>
      <c r="N16" s="5">
        <v>3.1632084310000002</v>
      </c>
    </row>
    <row r="17" spans="1:14" s="4" customFormat="1" ht="15" x14ac:dyDescent="0.2">
      <c r="A17" s="16" t="s">
        <v>38</v>
      </c>
      <c r="B17" s="21">
        <v>5.7729999999999997</v>
      </c>
      <c r="C17" s="3">
        <v>255311</v>
      </c>
      <c r="D17" s="3">
        <v>256087</v>
      </c>
      <c r="E17" s="3" t="s">
        <v>39</v>
      </c>
      <c r="F17" s="3" t="s">
        <v>40</v>
      </c>
      <c r="G17" s="3">
        <v>1.482957428</v>
      </c>
      <c r="H17" s="3">
        <v>1.0378752200000001</v>
      </c>
      <c r="I17" s="3">
        <v>0.57274250699999996</v>
      </c>
      <c r="J17" s="3">
        <v>1.0311917180000001</v>
      </c>
      <c r="K17" s="3">
        <v>0.18307632300000001</v>
      </c>
      <c r="L17" s="3">
        <v>1.5732070709999999</v>
      </c>
      <c r="M17" s="3">
        <v>1.3367822789999999</v>
      </c>
      <c r="N17" s="3">
        <v>1.031021891</v>
      </c>
    </row>
    <row r="18" spans="1:14" s="4" customFormat="1" ht="15" x14ac:dyDescent="0.2">
      <c r="A18" s="16"/>
      <c r="B18" s="21"/>
      <c r="C18" s="3">
        <v>256281</v>
      </c>
      <c r="D18" s="3">
        <v>256442</v>
      </c>
      <c r="E18" s="3" t="s">
        <v>41</v>
      </c>
      <c r="F18" s="3" t="s">
        <v>42</v>
      </c>
      <c r="G18" s="3">
        <v>15.11449434</v>
      </c>
      <c r="H18" s="3">
        <v>17.920645459999999</v>
      </c>
      <c r="I18" s="3">
        <v>20.144980270000001</v>
      </c>
      <c r="J18" s="3">
        <v>17.72670669</v>
      </c>
      <c r="K18" s="3">
        <v>232.25435279999999</v>
      </c>
      <c r="L18" s="3">
        <v>285.47396079999999</v>
      </c>
      <c r="M18" s="3">
        <v>223.871836</v>
      </c>
      <c r="N18" s="3">
        <v>247.20004990000001</v>
      </c>
    </row>
    <row r="19" spans="1:14" s="4" customFormat="1" ht="15" x14ac:dyDescent="0.2">
      <c r="A19" s="16"/>
      <c r="B19" s="21"/>
      <c r="C19" s="3">
        <v>256526</v>
      </c>
      <c r="D19" s="3">
        <v>259687</v>
      </c>
      <c r="E19" s="3" t="s">
        <v>43</v>
      </c>
      <c r="F19" s="3" t="s">
        <v>44</v>
      </c>
      <c r="G19" s="3">
        <v>2.801386076</v>
      </c>
      <c r="H19" s="3">
        <v>2.5758802539999999</v>
      </c>
      <c r="I19" s="3">
        <v>3.4950515630000001</v>
      </c>
      <c r="J19" s="3">
        <v>2.9574392980000002</v>
      </c>
      <c r="K19" s="3">
        <v>16.870292110000001</v>
      </c>
      <c r="L19" s="3">
        <v>19.007097760000001</v>
      </c>
      <c r="M19" s="3">
        <v>9.9093953940000006</v>
      </c>
      <c r="N19" s="3">
        <v>15.26226175</v>
      </c>
    </row>
    <row r="20" spans="1:14" s="4" customFormat="1" ht="15" x14ac:dyDescent="0.2">
      <c r="A20" s="16"/>
      <c r="B20" s="21"/>
      <c r="C20" s="3">
        <v>259684</v>
      </c>
      <c r="D20" s="3">
        <v>261084</v>
      </c>
      <c r="E20" s="3" t="s">
        <v>45</v>
      </c>
      <c r="F20" s="3" t="s">
        <v>46</v>
      </c>
      <c r="G20" s="3">
        <v>0.71964716699999998</v>
      </c>
      <c r="H20" s="3">
        <v>0.74829247700000001</v>
      </c>
      <c r="I20" s="3">
        <v>1.588226009</v>
      </c>
      <c r="J20" s="3">
        <v>1.0187218840000001</v>
      </c>
      <c r="K20" s="3">
        <v>5.0259743050000001</v>
      </c>
      <c r="L20" s="3">
        <v>5.4289306100000001</v>
      </c>
      <c r="M20" s="3">
        <v>4.9425640309999999</v>
      </c>
      <c r="N20" s="3">
        <v>5.132489649</v>
      </c>
    </row>
    <row r="21" spans="1:14" ht="15" x14ac:dyDescent="0.2">
      <c r="A21" s="17" t="s">
        <v>47</v>
      </c>
      <c r="B21" s="22">
        <v>22.625</v>
      </c>
      <c r="C21" s="5">
        <v>510823</v>
      </c>
      <c r="D21" s="5">
        <v>511035</v>
      </c>
      <c r="E21" s="5" t="s">
        <v>48</v>
      </c>
      <c r="F21" s="5" t="s">
        <v>49</v>
      </c>
      <c r="G21" s="5">
        <v>58.830069930000001</v>
      </c>
      <c r="H21" s="5">
        <v>45.432622299999998</v>
      </c>
      <c r="I21" s="5">
        <v>45.268169499999999</v>
      </c>
      <c r="J21" s="5">
        <v>49.84362058</v>
      </c>
      <c r="K21" s="5">
        <v>37.399140709999998</v>
      </c>
      <c r="L21" s="5">
        <v>46.229883839999999</v>
      </c>
      <c r="M21" s="5">
        <v>32.509540880000003</v>
      </c>
      <c r="N21" s="5">
        <v>38.712855140000002</v>
      </c>
    </row>
    <row r="22" spans="1:14" ht="15" x14ac:dyDescent="0.2">
      <c r="A22" s="17"/>
      <c r="B22" s="22"/>
      <c r="C22" s="5">
        <v>511124</v>
      </c>
      <c r="D22" s="5">
        <v>512215</v>
      </c>
      <c r="E22" s="5" t="s">
        <v>50</v>
      </c>
      <c r="F22" s="5" t="s">
        <v>51</v>
      </c>
      <c r="G22" s="5">
        <v>3.6931343640000001</v>
      </c>
      <c r="H22" s="5">
        <v>6.2771491670000001</v>
      </c>
      <c r="I22" s="5">
        <v>6.5883745420000004</v>
      </c>
      <c r="J22" s="5">
        <v>5.5195526910000003</v>
      </c>
      <c r="K22" s="5">
        <v>4.5593045849999996</v>
      </c>
      <c r="L22" s="5">
        <v>6.467629069</v>
      </c>
      <c r="M22" s="5">
        <v>4.4388026969999999</v>
      </c>
      <c r="N22" s="5">
        <v>5.1552454499999998</v>
      </c>
    </row>
    <row r="23" spans="1:14" ht="15" x14ac:dyDescent="0.2">
      <c r="A23" s="17"/>
      <c r="B23" s="22"/>
      <c r="C23" s="5">
        <v>512302</v>
      </c>
      <c r="D23" s="5">
        <v>513924</v>
      </c>
      <c r="E23" s="5" t="s">
        <v>52</v>
      </c>
      <c r="F23" s="5" t="s">
        <v>53</v>
      </c>
      <c r="G23" s="5">
        <v>8.2532337249999994</v>
      </c>
      <c r="H23" s="5">
        <v>15.20439236</v>
      </c>
      <c r="I23" s="5">
        <v>12.97863458</v>
      </c>
      <c r="J23" s="5">
        <v>12.14542022</v>
      </c>
      <c r="K23" s="5">
        <v>14.37402939</v>
      </c>
      <c r="L23" s="5">
        <v>16.276667239999998</v>
      </c>
      <c r="M23" s="5">
        <v>11.35956069</v>
      </c>
      <c r="N23" s="5">
        <v>14.003419109999999</v>
      </c>
    </row>
    <row r="24" spans="1:14" ht="15" x14ac:dyDescent="0.2">
      <c r="A24" s="17"/>
      <c r="B24" s="22"/>
      <c r="C24" s="5">
        <v>513989</v>
      </c>
      <c r="D24" s="5">
        <v>524920</v>
      </c>
      <c r="E24" s="5" t="s">
        <v>54</v>
      </c>
      <c r="F24" s="5" t="s">
        <v>55</v>
      </c>
      <c r="G24" s="5">
        <v>12.022449610000001</v>
      </c>
      <c r="H24" s="5">
        <v>11.898738120000001</v>
      </c>
      <c r="I24" s="5">
        <v>13.060514789999999</v>
      </c>
      <c r="J24" s="5">
        <v>12.327234170000001</v>
      </c>
      <c r="K24" s="5">
        <v>16.84440334</v>
      </c>
      <c r="L24" s="5">
        <v>14.42437471</v>
      </c>
      <c r="M24" s="5">
        <v>11.40945265</v>
      </c>
      <c r="N24" s="5">
        <v>14.226076900000001</v>
      </c>
    </row>
    <row r="25" spans="1:14" ht="15" x14ac:dyDescent="0.2">
      <c r="A25" s="17"/>
      <c r="B25" s="22"/>
      <c r="C25" s="5">
        <v>524978</v>
      </c>
      <c r="D25" s="5">
        <v>526783</v>
      </c>
      <c r="E25" s="5" t="s">
        <v>56</v>
      </c>
      <c r="F25" s="5" t="s">
        <v>57</v>
      </c>
      <c r="G25" s="5">
        <v>43.863639030000002</v>
      </c>
      <c r="H25" s="5">
        <v>48.850131570000002</v>
      </c>
      <c r="I25" s="5">
        <v>51.993031989999999</v>
      </c>
      <c r="J25" s="5">
        <v>48.235600859999998</v>
      </c>
      <c r="K25" s="5">
        <v>47.02294071</v>
      </c>
      <c r="L25" s="5">
        <v>39.407414330000002</v>
      </c>
      <c r="M25" s="5">
        <v>30.625526579999999</v>
      </c>
      <c r="N25" s="5">
        <v>39.018627209999998</v>
      </c>
    </row>
    <row r="26" spans="1:14" ht="15" x14ac:dyDescent="0.2">
      <c r="A26" s="17"/>
      <c r="B26" s="22"/>
      <c r="C26" s="5">
        <v>526786</v>
      </c>
      <c r="D26" s="5">
        <v>527838</v>
      </c>
      <c r="E26" s="5" t="s">
        <v>58</v>
      </c>
      <c r="F26" s="5" t="s">
        <v>59</v>
      </c>
      <c r="G26" s="5">
        <v>356.45585749999998</v>
      </c>
      <c r="H26" s="5">
        <v>346.77214809999998</v>
      </c>
      <c r="I26" s="5">
        <v>337.95669700000002</v>
      </c>
      <c r="J26" s="5">
        <v>347.06156750000002</v>
      </c>
      <c r="K26" s="5">
        <v>277.34080929999999</v>
      </c>
      <c r="L26" s="5">
        <v>266.93250289999997</v>
      </c>
      <c r="M26" s="5">
        <v>210.51432790000001</v>
      </c>
      <c r="N26" s="5">
        <v>251.59587999999999</v>
      </c>
    </row>
    <row r="27" spans="1:14" ht="15" x14ac:dyDescent="0.2">
      <c r="A27" s="17"/>
      <c r="B27" s="22"/>
      <c r="C27" s="5">
        <v>527889</v>
      </c>
      <c r="D27" s="5">
        <v>528752</v>
      </c>
      <c r="E27" s="5" t="s">
        <v>60</v>
      </c>
      <c r="F27" s="5" t="s">
        <v>61</v>
      </c>
      <c r="G27" s="5">
        <v>100.52250100000001</v>
      </c>
      <c r="H27" s="5">
        <v>84.843055870000001</v>
      </c>
      <c r="I27" s="5">
        <v>78.719944220000002</v>
      </c>
      <c r="J27" s="5">
        <v>88.028500359999995</v>
      </c>
      <c r="K27" s="5">
        <v>56.636694740000003</v>
      </c>
      <c r="L27" s="5">
        <v>44.723205870000001</v>
      </c>
      <c r="M27" s="5">
        <v>45.482315130000003</v>
      </c>
      <c r="N27" s="5">
        <v>48.947405250000003</v>
      </c>
    </row>
    <row r="28" spans="1:14" ht="15" x14ac:dyDescent="0.2">
      <c r="A28" s="17"/>
      <c r="B28" s="22"/>
      <c r="C28" s="5">
        <v>528791</v>
      </c>
      <c r="D28" s="5">
        <v>529897</v>
      </c>
      <c r="E28" s="5" t="s">
        <v>62</v>
      </c>
      <c r="F28" s="5" t="s">
        <v>63</v>
      </c>
      <c r="G28" s="5">
        <v>5.8549691130000001</v>
      </c>
      <c r="H28" s="5">
        <v>7.7947522950000003</v>
      </c>
      <c r="I28" s="5">
        <v>9.1791428960000001</v>
      </c>
      <c r="J28" s="5">
        <v>7.6096214350000002</v>
      </c>
      <c r="K28" s="5">
        <v>7.7100435269999998</v>
      </c>
      <c r="L28" s="5">
        <v>8.2203740740000004</v>
      </c>
      <c r="M28" s="5">
        <v>2.502089325</v>
      </c>
      <c r="N28" s="5">
        <v>6.1441689750000004</v>
      </c>
    </row>
    <row r="29" spans="1:14" ht="15" x14ac:dyDescent="0.2">
      <c r="A29" s="17"/>
      <c r="B29" s="22"/>
      <c r="C29" s="5">
        <v>529894</v>
      </c>
      <c r="D29" s="5">
        <v>530970</v>
      </c>
      <c r="E29" s="5" t="s">
        <v>64</v>
      </c>
      <c r="F29" s="5" t="s">
        <v>65</v>
      </c>
      <c r="G29" s="5">
        <v>30.290902880000001</v>
      </c>
      <c r="H29" s="5">
        <v>28.752901909999999</v>
      </c>
      <c r="I29" s="5">
        <v>29.957304799999999</v>
      </c>
      <c r="J29" s="5">
        <v>29.667036530000001</v>
      </c>
      <c r="K29" s="5">
        <v>28.66138883</v>
      </c>
      <c r="L29" s="5">
        <v>33.356031260000002</v>
      </c>
      <c r="M29" s="5">
        <v>20.092073490000001</v>
      </c>
      <c r="N29" s="5">
        <v>27.369831189999999</v>
      </c>
    </row>
    <row r="30" spans="1:14" ht="15" x14ac:dyDescent="0.2">
      <c r="A30" s="17"/>
      <c r="B30" s="22"/>
      <c r="C30" s="5">
        <v>530970</v>
      </c>
      <c r="D30" s="5">
        <v>532325</v>
      </c>
      <c r="E30" s="5" t="s">
        <v>66</v>
      </c>
      <c r="F30" s="5" t="s">
        <v>67</v>
      </c>
      <c r="G30" s="5">
        <v>37.548227799999999</v>
      </c>
      <c r="H30" s="5">
        <v>38.715730739999998</v>
      </c>
      <c r="I30" s="5">
        <v>29.646182759999999</v>
      </c>
      <c r="J30" s="5">
        <v>35.303380429999997</v>
      </c>
      <c r="K30" s="5">
        <v>38.814610719999997</v>
      </c>
      <c r="L30" s="5">
        <v>35.70789456</v>
      </c>
      <c r="M30" s="5">
        <v>26.554253299999999</v>
      </c>
      <c r="N30" s="5">
        <v>33.692252860000004</v>
      </c>
    </row>
    <row r="31" spans="1:14" ht="15" x14ac:dyDescent="0.2">
      <c r="A31" s="17"/>
      <c r="B31" s="22"/>
      <c r="C31" s="5">
        <v>532501</v>
      </c>
      <c r="D31" s="5">
        <v>533448</v>
      </c>
      <c r="E31" s="5" t="s">
        <v>68</v>
      </c>
      <c r="F31" s="5" t="s">
        <v>69</v>
      </c>
      <c r="G31" s="5">
        <v>61.836626320000001</v>
      </c>
      <c r="H31" s="5">
        <v>61.24777564</v>
      </c>
      <c r="I31" s="5">
        <v>70.727658009999999</v>
      </c>
      <c r="J31" s="5">
        <v>64.604019989999998</v>
      </c>
      <c r="K31" s="5">
        <v>48.767245250000002</v>
      </c>
      <c r="L31" s="5">
        <v>45.41667374</v>
      </c>
      <c r="M31" s="5">
        <v>40.265278260000002</v>
      </c>
      <c r="N31" s="5">
        <v>44.816399079999997</v>
      </c>
    </row>
    <row r="32" spans="1:14" s="4" customFormat="1" ht="15" x14ac:dyDescent="0.2">
      <c r="A32" s="16" t="s">
        <v>70</v>
      </c>
      <c r="B32" s="21">
        <v>6.1820000000000004</v>
      </c>
      <c r="C32" s="3">
        <v>796584</v>
      </c>
      <c r="D32" s="3">
        <v>796799</v>
      </c>
      <c r="E32" s="3" t="s">
        <v>71</v>
      </c>
      <c r="F32" s="3" t="s">
        <v>72</v>
      </c>
      <c r="G32" s="3">
        <v>41.67599542</v>
      </c>
      <c r="H32" s="3">
        <v>45.921653999999997</v>
      </c>
      <c r="I32" s="3">
        <v>44.982825269999999</v>
      </c>
      <c r="J32" s="3">
        <v>44.193491559999998</v>
      </c>
      <c r="K32" s="3">
        <v>4.6099635250000004</v>
      </c>
      <c r="L32" s="3">
        <v>7.859965882</v>
      </c>
      <c r="M32" s="3">
        <v>8.0145048689999996</v>
      </c>
      <c r="N32" s="3">
        <v>6.8281447589999997</v>
      </c>
    </row>
    <row r="33" spans="1:14" s="4" customFormat="1" ht="15" x14ac:dyDescent="0.2">
      <c r="A33" s="16"/>
      <c r="B33" s="21"/>
      <c r="C33" s="3">
        <v>796977</v>
      </c>
      <c r="D33" s="3">
        <v>797723</v>
      </c>
      <c r="E33" s="3" t="s">
        <v>73</v>
      </c>
      <c r="F33" s="3" t="s">
        <v>74</v>
      </c>
      <c r="G33" s="3">
        <v>3.4706563899999998</v>
      </c>
      <c r="H33" s="3">
        <v>3.670493649</v>
      </c>
      <c r="I33" s="3">
        <v>1.29077913</v>
      </c>
      <c r="J33" s="3">
        <v>2.810643056</v>
      </c>
      <c r="K33" s="3">
        <v>0.952143929</v>
      </c>
      <c r="L33" s="3">
        <v>0.81819403899999998</v>
      </c>
      <c r="M33" s="3">
        <v>1.6222130340000001</v>
      </c>
      <c r="N33" s="3">
        <v>1.130850334</v>
      </c>
    </row>
    <row r="34" spans="1:14" s="4" customFormat="1" ht="15" x14ac:dyDescent="0.2">
      <c r="A34" s="16"/>
      <c r="B34" s="21"/>
      <c r="C34" s="3">
        <v>797720</v>
      </c>
      <c r="D34" s="3">
        <v>799942</v>
      </c>
      <c r="E34" s="3" t="s">
        <v>75</v>
      </c>
      <c r="F34" s="3" t="s">
        <v>76</v>
      </c>
      <c r="G34" s="3">
        <v>0.87468971799999995</v>
      </c>
      <c r="H34" s="3">
        <v>0.87063864599999996</v>
      </c>
      <c r="I34" s="3">
        <v>0.90085208100000003</v>
      </c>
      <c r="J34" s="3">
        <v>0.88206014799999999</v>
      </c>
      <c r="K34" s="3">
        <v>0.41593655899999998</v>
      </c>
      <c r="L34" s="3">
        <v>0.30548855200000002</v>
      </c>
      <c r="M34" s="3">
        <v>0.233621195</v>
      </c>
      <c r="N34" s="3">
        <v>0.31834876899999998</v>
      </c>
    </row>
    <row r="35" spans="1:14" s="4" customFormat="1" ht="15" x14ac:dyDescent="0.2">
      <c r="A35" s="16"/>
      <c r="B35" s="21"/>
      <c r="C35" s="3">
        <v>799944</v>
      </c>
      <c r="D35" s="3">
        <v>802766</v>
      </c>
      <c r="E35" s="3" t="s">
        <v>77</v>
      </c>
      <c r="F35" s="3" t="s">
        <v>78</v>
      </c>
      <c r="G35" s="3">
        <v>1.2500141279999999</v>
      </c>
      <c r="H35" s="3">
        <v>0.88555793199999999</v>
      </c>
      <c r="I35" s="3">
        <v>1.812873068</v>
      </c>
      <c r="J35" s="3">
        <v>1.3161483759999999</v>
      </c>
      <c r="K35" s="3">
        <v>0.20155905499999999</v>
      </c>
      <c r="L35" s="3">
        <v>0.24056006099999999</v>
      </c>
      <c r="M35" s="3">
        <v>0.12264492</v>
      </c>
      <c r="N35" s="3">
        <v>0.18825467900000001</v>
      </c>
    </row>
    <row r="36" spans="1:14" ht="15" x14ac:dyDescent="0.2">
      <c r="A36" s="17" t="s">
        <v>79</v>
      </c>
      <c r="B36" s="22">
        <f>(D38-C36)/1000</f>
        <v>2.8650000000000002</v>
      </c>
      <c r="C36" s="5">
        <v>1277625</v>
      </c>
      <c r="D36" s="5">
        <v>1278749</v>
      </c>
      <c r="E36" s="5" t="s">
        <v>80</v>
      </c>
      <c r="F36" s="5" t="s">
        <v>81</v>
      </c>
      <c r="G36" s="5">
        <v>2.4965588300000001</v>
      </c>
      <c r="H36" s="5">
        <v>3.2973987650000001</v>
      </c>
      <c r="I36" s="5">
        <v>4.4831737919999997</v>
      </c>
      <c r="J36" s="5">
        <v>3.4257104620000001</v>
      </c>
      <c r="K36" s="5">
        <v>6.5119027620000001</v>
      </c>
      <c r="L36" s="5">
        <v>8.3303062400000005</v>
      </c>
      <c r="M36" s="5">
        <v>8.1555601549999999</v>
      </c>
      <c r="N36" s="5">
        <v>7.6659230520000001</v>
      </c>
    </row>
    <row r="37" spans="1:14" ht="15" x14ac:dyDescent="0.2">
      <c r="A37" s="17"/>
      <c r="B37" s="22"/>
      <c r="C37" s="5">
        <v>1278746</v>
      </c>
      <c r="D37" s="5">
        <v>1279960</v>
      </c>
      <c r="E37" s="5" t="s">
        <v>82</v>
      </c>
      <c r="F37" s="5" t="s">
        <v>83</v>
      </c>
      <c r="G37" s="5">
        <v>2.5487186529999999</v>
      </c>
      <c r="H37" s="5">
        <v>2.8540287219999998</v>
      </c>
      <c r="I37" s="5">
        <v>3.113315133</v>
      </c>
      <c r="J37" s="5">
        <v>2.8386875030000001</v>
      </c>
      <c r="K37" s="5">
        <v>1.9903334589999999</v>
      </c>
      <c r="L37" s="5">
        <v>3.1300130799999999</v>
      </c>
      <c r="M37" s="5">
        <v>2.707121645</v>
      </c>
      <c r="N37" s="5">
        <v>2.6091560610000002</v>
      </c>
    </row>
    <row r="38" spans="1:14" ht="15" x14ac:dyDescent="0.2">
      <c r="A38" s="17"/>
      <c r="B38" s="22"/>
      <c r="C38" s="5">
        <v>1279957</v>
      </c>
      <c r="D38" s="5">
        <v>1280490</v>
      </c>
      <c r="E38" s="5" t="s">
        <v>84</v>
      </c>
      <c r="F38" s="5" t="s">
        <v>85</v>
      </c>
      <c r="G38" s="5">
        <v>1.7532014250000001</v>
      </c>
      <c r="H38" s="5">
        <v>0.90610005199999999</v>
      </c>
      <c r="I38" s="5">
        <v>1.1111633649999999</v>
      </c>
      <c r="J38" s="5">
        <v>1.2568216139999999</v>
      </c>
      <c r="K38" s="5" t="s">
        <v>12</v>
      </c>
      <c r="L38" s="5">
        <v>2.670622115</v>
      </c>
      <c r="M38" s="5">
        <v>1.1346377679999999</v>
      </c>
      <c r="N38" s="5">
        <v>1.9026299419999999</v>
      </c>
    </row>
    <row r="39" spans="1:14" s="4" customFormat="1" ht="15" x14ac:dyDescent="0.2">
      <c r="A39" s="16" t="s">
        <v>86</v>
      </c>
      <c r="B39" s="21">
        <f>(D47-C39)/1000</f>
        <v>8.0839999999999996</v>
      </c>
      <c r="C39" s="3">
        <v>1335695</v>
      </c>
      <c r="D39" s="3">
        <v>1336564</v>
      </c>
      <c r="E39" s="3" t="s">
        <v>87</v>
      </c>
      <c r="F39" s="3" t="s">
        <v>88</v>
      </c>
      <c r="G39" s="3">
        <v>0.82777149500000002</v>
      </c>
      <c r="H39" s="3">
        <v>0.92692993800000001</v>
      </c>
      <c r="I39" s="3">
        <v>0.68202441000000003</v>
      </c>
      <c r="J39" s="3">
        <v>0.81224194800000005</v>
      </c>
      <c r="K39" s="3">
        <v>0.65402438200000002</v>
      </c>
      <c r="L39" s="3">
        <v>1.639209436</v>
      </c>
      <c r="M39" s="3">
        <v>1.6913368900000001</v>
      </c>
      <c r="N39" s="3">
        <v>1.328190236</v>
      </c>
    </row>
    <row r="40" spans="1:14" s="4" customFormat="1" ht="15" x14ac:dyDescent="0.2">
      <c r="A40" s="16"/>
      <c r="B40" s="21"/>
      <c r="C40" s="3">
        <v>1336608</v>
      </c>
      <c r="D40" s="3">
        <v>1337876</v>
      </c>
      <c r="E40" s="3" t="s">
        <v>89</v>
      </c>
      <c r="F40" s="3" t="s">
        <v>90</v>
      </c>
      <c r="G40" s="3">
        <v>0.34050174999999999</v>
      </c>
      <c r="H40" s="3">
        <v>0.19064516500000001</v>
      </c>
      <c r="I40" s="3">
        <v>0.46758174699999999</v>
      </c>
      <c r="J40" s="3">
        <v>0.332909554</v>
      </c>
      <c r="K40" s="3">
        <v>0.39233732100000002</v>
      </c>
      <c r="L40" s="3">
        <v>0.642175936</v>
      </c>
      <c r="M40" s="3">
        <v>6.8208552000000006E-2</v>
      </c>
      <c r="N40" s="3">
        <v>0.36757393599999999</v>
      </c>
    </row>
    <row r="41" spans="1:14" s="4" customFormat="1" ht="15" x14ac:dyDescent="0.2">
      <c r="A41" s="16"/>
      <c r="B41" s="21"/>
      <c r="C41" s="3">
        <v>1337873</v>
      </c>
      <c r="D41" s="3">
        <v>1338130</v>
      </c>
      <c r="E41" s="3" t="s">
        <v>91</v>
      </c>
      <c r="F41" s="3" t="s">
        <v>92</v>
      </c>
      <c r="G41" s="3" t="s">
        <v>12</v>
      </c>
      <c r="H41" s="3" t="s">
        <v>12</v>
      </c>
      <c r="I41" s="3" t="s">
        <v>12</v>
      </c>
      <c r="J41" s="3">
        <v>0</v>
      </c>
      <c r="K41" s="3" t="s">
        <v>12</v>
      </c>
      <c r="L41" s="3">
        <v>1.0528698480000001</v>
      </c>
      <c r="M41" s="3" t="s">
        <v>12</v>
      </c>
      <c r="N41" s="3">
        <v>1.0528698480000001</v>
      </c>
    </row>
    <row r="42" spans="1:14" s="4" customFormat="1" ht="15" x14ac:dyDescent="0.2">
      <c r="A42" s="16"/>
      <c r="B42" s="21"/>
      <c r="C42" s="3">
        <v>1338248</v>
      </c>
      <c r="D42" s="3">
        <v>1339366</v>
      </c>
      <c r="E42" s="3" t="s">
        <v>93</v>
      </c>
      <c r="F42" s="3" t="s">
        <v>94</v>
      </c>
      <c r="G42" s="3">
        <v>0.38614541600000002</v>
      </c>
      <c r="H42" s="3" t="s">
        <v>12</v>
      </c>
      <c r="I42" s="3">
        <v>0.19884760000000001</v>
      </c>
      <c r="J42" s="3">
        <v>0.29249650799999999</v>
      </c>
      <c r="K42" s="3">
        <v>0.76273620900000005</v>
      </c>
      <c r="L42" s="3">
        <v>1.577893419</v>
      </c>
      <c r="M42" s="3">
        <v>0.46411073800000002</v>
      </c>
      <c r="N42" s="3">
        <v>0.934913455</v>
      </c>
    </row>
    <row r="43" spans="1:14" s="4" customFormat="1" ht="15" x14ac:dyDescent="0.2">
      <c r="A43" s="16"/>
      <c r="B43" s="21"/>
      <c r="C43" s="3">
        <v>1339363</v>
      </c>
      <c r="D43" s="3">
        <v>1340376</v>
      </c>
      <c r="E43" s="3" t="s">
        <v>95</v>
      </c>
      <c r="F43" s="3" t="s">
        <v>96</v>
      </c>
      <c r="G43" s="3">
        <v>0.142043629</v>
      </c>
      <c r="H43" s="3">
        <v>7.9529491999999993E-2</v>
      </c>
      <c r="I43" s="3">
        <v>0.36573054599999999</v>
      </c>
      <c r="J43" s="3">
        <v>0.195767889</v>
      </c>
      <c r="K43" s="3">
        <v>0.28057259000000001</v>
      </c>
      <c r="L43" s="3">
        <v>0.93761486500000002</v>
      </c>
      <c r="M43" s="3">
        <v>0.51216954199999998</v>
      </c>
      <c r="N43" s="3">
        <v>0.57678566600000003</v>
      </c>
    </row>
    <row r="44" spans="1:14" s="4" customFormat="1" ht="15" x14ac:dyDescent="0.2">
      <c r="A44" s="16"/>
      <c r="B44" s="21"/>
      <c r="C44" s="3">
        <v>1340373</v>
      </c>
      <c r="D44" s="3">
        <v>1341344</v>
      </c>
      <c r="E44" s="3" t="s">
        <v>97</v>
      </c>
      <c r="F44" s="3" t="s">
        <v>98</v>
      </c>
      <c r="G44" s="3" t="s">
        <v>12</v>
      </c>
      <c r="H44" s="3">
        <v>8.2965950999999996E-2</v>
      </c>
      <c r="I44" s="3">
        <v>0.30522697399999998</v>
      </c>
      <c r="J44" s="3">
        <v>0.194096463</v>
      </c>
      <c r="K44" s="3">
        <v>1.024436339</v>
      </c>
      <c r="L44" s="3">
        <v>1.8165254479999999</v>
      </c>
      <c r="M44" s="3" t="s">
        <v>12</v>
      </c>
      <c r="N44" s="3">
        <v>1.420480894</v>
      </c>
    </row>
    <row r="45" spans="1:14" s="4" customFormat="1" ht="15" x14ac:dyDescent="0.2">
      <c r="A45" s="16"/>
      <c r="B45" s="21"/>
      <c r="C45" s="3">
        <v>1341355</v>
      </c>
      <c r="D45" s="3">
        <v>1342317</v>
      </c>
      <c r="E45" s="3" t="s">
        <v>99</v>
      </c>
      <c r="F45" s="3" t="s">
        <v>100</v>
      </c>
      <c r="G45" s="3">
        <v>0.373915473</v>
      </c>
      <c r="H45" s="3" t="s">
        <v>12</v>
      </c>
      <c r="I45" s="3">
        <v>0.15403978099999999</v>
      </c>
      <c r="J45" s="3">
        <v>0.26397762699999999</v>
      </c>
      <c r="K45" s="3">
        <v>0.66472104200000004</v>
      </c>
      <c r="L45" s="3">
        <v>1.2693477609999999</v>
      </c>
      <c r="M45" s="3">
        <v>1.0785875709999999</v>
      </c>
      <c r="N45" s="3">
        <v>1.004218791</v>
      </c>
    </row>
    <row r="46" spans="1:14" s="4" customFormat="1" ht="15" x14ac:dyDescent="0.2">
      <c r="A46" s="16"/>
      <c r="B46" s="21"/>
      <c r="C46" s="3">
        <v>1342317</v>
      </c>
      <c r="D46" s="3">
        <v>1342589</v>
      </c>
      <c r="E46" s="3" t="s">
        <v>101</v>
      </c>
      <c r="F46" s="3" t="s">
        <v>102</v>
      </c>
      <c r="G46" s="3" t="s">
        <v>12</v>
      </c>
      <c r="H46" s="3">
        <v>0.59079051000000005</v>
      </c>
      <c r="I46" s="3" t="s">
        <v>12</v>
      </c>
      <c r="J46" s="3">
        <v>0.59079051000000005</v>
      </c>
      <c r="K46" s="3">
        <v>0.52106338100000005</v>
      </c>
      <c r="L46" s="3">
        <v>0.248754964</v>
      </c>
      <c r="M46" s="3">
        <v>1.902344013</v>
      </c>
      <c r="N46" s="3">
        <v>0.89072078600000004</v>
      </c>
    </row>
    <row r="47" spans="1:14" s="4" customFormat="1" ht="15" x14ac:dyDescent="0.2">
      <c r="A47" s="18"/>
      <c r="B47" s="21"/>
      <c r="C47" s="3">
        <v>1342661</v>
      </c>
      <c r="D47" s="3">
        <v>1343779</v>
      </c>
      <c r="E47" s="3" t="s">
        <v>103</v>
      </c>
      <c r="F47" s="3" t="s">
        <v>104</v>
      </c>
      <c r="G47" s="3">
        <v>0.25743027699999999</v>
      </c>
      <c r="H47" s="3">
        <v>0.28826775500000001</v>
      </c>
      <c r="I47" s="3">
        <v>0.33141266600000002</v>
      </c>
      <c r="J47" s="3">
        <v>0.29237023299999998</v>
      </c>
      <c r="K47" s="3">
        <v>1.334788367</v>
      </c>
      <c r="L47" s="3">
        <v>1.820646253</v>
      </c>
      <c r="M47" s="3">
        <v>0.46411073800000002</v>
      </c>
      <c r="N47" s="3">
        <v>1.2065151190000001</v>
      </c>
    </row>
    <row r="48" spans="1:14" ht="15" x14ac:dyDescent="0.2">
      <c r="A48" s="19" t="s">
        <v>105</v>
      </c>
      <c r="B48" s="22">
        <f>(D51-C48)/1000</f>
        <v>3.3359999999999999</v>
      </c>
      <c r="C48" s="5">
        <v>1998468</v>
      </c>
      <c r="D48" s="5">
        <v>1998980</v>
      </c>
      <c r="E48" s="5" t="s">
        <v>106</v>
      </c>
      <c r="F48" s="5" t="s">
        <v>107</v>
      </c>
      <c r="G48" s="5">
        <v>381.83985699999999</v>
      </c>
      <c r="H48" s="5">
        <v>393.7826043</v>
      </c>
      <c r="I48" s="5">
        <v>394.27292729999999</v>
      </c>
      <c r="J48" s="5">
        <v>389.96512949999999</v>
      </c>
      <c r="K48" s="5">
        <v>360.2010598</v>
      </c>
      <c r="L48" s="5">
        <v>351.19982290000002</v>
      </c>
      <c r="M48" s="5">
        <v>284.47274119999997</v>
      </c>
      <c r="N48" s="5">
        <v>331.95787460000003</v>
      </c>
    </row>
    <row r="49" spans="1:14" ht="15" x14ac:dyDescent="0.2">
      <c r="A49" s="19"/>
      <c r="B49" s="22"/>
      <c r="C49" s="5">
        <v>1999110</v>
      </c>
      <c r="D49" s="5">
        <v>2000381</v>
      </c>
      <c r="E49" s="5" t="s">
        <v>108</v>
      </c>
      <c r="F49" s="5" t="s">
        <v>109</v>
      </c>
      <c r="G49" s="5">
        <v>573.35475480000002</v>
      </c>
      <c r="H49" s="5">
        <v>600.76427980000005</v>
      </c>
      <c r="I49" s="5">
        <v>687.12350809999998</v>
      </c>
      <c r="J49" s="5">
        <v>620.41418090000002</v>
      </c>
      <c r="K49" s="5">
        <v>535.39569649999999</v>
      </c>
      <c r="L49" s="5">
        <v>593.25242860000003</v>
      </c>
      <c r="M49" s="5">
        <v>477.89887659999999</v>
      </c>
      <c r="N49" s="5">
        <v>535.51566720000005</v>
      </c>
    </row>
    <row r="50" spans="1:14" ht="15" x14ac:dyDescent="0.2">
      <c r="A50" s="19"/>
      <c r="B50" s="22"/>
      <c r="C50" s="5">
        <v>2000500</v>
      </c>
      <c r="D50" s="5">
        <v>2000898</v>
      </c>
      <c r="E50" s="5" t="s">
        <v>110</v>
      </c>
      <c r="F50" s="5" t="s">
        <v>111</v>
      </c>
      <c r="G50" s="5">
        <v>2818.7362090000001</v>
      </c>
      <c r="H50" s="5">
        <v>2938.7163730000002</v>
      </c>
      <c r="I50" s="5">
        <v>3396.9559049999998</v>
      </c>
      <c r="J50" s="5">
        <v>3051.4694960000002</v>
      </c>
      <c r="K50" s="5">
        <v>1640.8697239999999</v>
      </c>
      <c r="L50" s="5">
        <v>1715.2833089999999</v>
      </c>
      <c r="M50" s="5">
        <v>1511.16201</v>
      </c>
      <c r="N50" s="5">
        <v>1622.4383479999999</v>
      </c>
    </row>
    <row r="51" spans="1:14" ht="15" x14ac:dyDescent="0.2">
      <c r="A51" s="19"/>
      <c r="B51" s="22"/>
      <c r="C51" s="5">
        <v>2000962</v>
      </c>
      <c r="D51" s="5">
        <v>2001804</v>
      </c>
      <c r="E51" s="5" t="s">
        <v>112</v>
      </c>
      <c r="F51" s="5" t="s">
        <v>113</v>
      </c>
      <c r="G51" s="5">
        <v>1712.582633</v>
      </c>
      <c r="H51" s="5">
        <v>1882.241745</v>
      </c>
      <c r="I51" s="5">
        <v>2135.0974409999999</v>
      </c>
      <c r="J51" s="5">
        <v>1909.9739400000001</v>
      </c>
      <c r="K51" s="5">
        <v>968.75325020000002</v>
      </c>
      <c r="L51" s="5">
        <v>971.2836757</v>
      </c>
      <c r="M51" s="5">
        <v>888.66883529999996</v>
      </c>
      <c r="N51" s="5">
        <v>942.90192039999999</v>
      </c>
    </row>
    <row r="52" spans="1:14" s="4" customFormat="1" ht="15" x14ac:dyDescent="0.2">
      <c r="A52" s="18" t="s">
        <v>114</v>
      </c>
      <c r="B52" s="21">
        <v>1.419</v>
      </c>
      <c r="C52" s="3">
        <v>2943456</v>
      </c>
      <c r="D52" s="3">
        <v>2944322</v>
      </c>
      <c r="E52" s="3" t="s">
        <v>115</v>
      </c>
      <c r="F52" s="3" t="s">
        <v>116</v>
      </c>
      <c r="G52" s="3">
        <v>0.498381454</v>
      </c>
      <c r="H52" s="3">
        <v>0.186027462</v>
      </c>
      <c r="I52" s="3">
        <v>0.34219217800000001</v>
      </c>
      <c r="J52" s="3">
        <v>0.34220036500000001</v>
      </c>
      <c r="K52" s="3">
        <v>5.988622909</v>
      </c>
      <c r="L52" s="3">
        <v>4.777988949</v>
      </c>
      <c r="M52" s="3">
        <v>2.5957012310000001</v>
      </c>
      <c r="N52" s="3">
        <v>4.4541043629999999</v>
      </c>
    </row>
    <row r="53" spans="1:14" s="4" customFormat="1" ht="15" x14ac:dyDescent="0.2">
      <c r="A53" s="16"/>
      <c r="B53" s="21"/>
      <c r="C53" s="3">
        <v>2944306</v>
      </c>
      <c r="D53" s="3">
        <v>2944875</v>
      </c>
      <c r="E53" s="3" t="s">
        <v>117</v>
      </c>
      <c r="F53" s="3" t="s">
        <v>118</v>
      </c>
      <c r="G53" s="3" t="s">
        <v>12</v>
      </c>
      <c r="H53" s="3">
        <v>0.28295756</v>
      </c>
      <c r="I53" s="3">
        <v>0.39036923499999998</v>
      </c>
      <c r="J53" s="3">
        <v>0.336663398</v>
      </c>
      <c r="K53" s="3">
        <v>4.6168958010000001</v>
      </c>
      <c r="L53" s="3">
        <v>3.335934993</v>
      </c>
      <c r="M53" s="3">
        <v>2.8852217530000002</v>
      </c>
      <c r="N53" s="3">
        <v>3.6126841820000002</v>
      </c>
    </row>
    <row r="54" spans="1:14" ht="15" x14ac:dyDescent="0.2">
      <c r="A54" s="17" t="s">
        <v>119</v>
      </c>
      <c r="B54" s="22">
        <v>5.0410000000000004</v>
      </c>
      <c r="C54" s="5">
        <v>3035641</v>
      </c>
      <c r="D54" s="5">
        <v>3037083</v>
      </c>
      <c r="E54" s="5" t="s">
        <v>120</v>
      </c>
      <c r="F54" s="5" t="s">
        <v>121</v>
      </c>
      <c r="G54" s="5">
        <v>11.528568079999999</v>
      </c>
      <c r="H54" s="5">
        <v>10.00352039</v>
      </c>
      <c r="I54" s="5">
        <v>10.639793490000001</v>
      </c>
      <c r="J54" s="5">
        <v>10.72396065</v>
      </c>
      <c r="K54" s="5">
        <v>1.9715911719999999</v>
      </c>
      <c r="L54" s="5">
        <v>2.3530874989999999</v>
      </c>
      <c r="M54" s="5">
        <v>2.0994337079999998</v>
      </c>
      <c r="N54" s="5">
        <v>2.1413707930000001</v>
      </c>
    </row>
    <row r="55" spans="1:14" ht="15" x14ac:dyDescent="0.2">
      <c r="A55" s="17"/>
      <c r="B55" s="22"/>
      <c r="C55" s="5">
        <v>3037106</v>
      </c>
      <c r="D55" s="5">
        <v>3038347</v>
      </c>
      <c r="E55" s="5" t="s">
        <v>122</v>
      </c>
      <c r="F55" s="5" t="s">
        <v>123</v>
      </c>
      <c r="G55" s="5">
        <v>22.555773519999999</v>
      </c>
      <c r="H55" s="5">
        <v>25.127861580000001</v>
      </c>
      <c r="I55" s="5">
        <v>28.60507574</v>
      </c>
      <c r="J55" s="5">
        <v>25.42957028</v>
      </c>
      <c r="K55" s="5">
        <v>5.2112631150000004</v>
      </c>
      <c r="L55" s="5">
        <v>5.4678023529999997</v>
      </c>
      <c r="M55" s="5">
        <v>4.5299375350000002</v>
      </c>
      <c r="N55" s="5">
        <v>5.0696676680000001</v>
      </c>
    </row>
    <row r="56" spans="1:14" ht="15" x14ac:dyDescent="0.2">
      <c r="A56" s="17"/>
      <c r="B56" s="22"/>
      <c r="C56" s="5">
        <v>3038344</v>
      </c>
      <c r="D56" s="5">
        <v>3038898</v>
      </c>
      <c r="E56" s="5" t="s">
        <v>124</v>
      </c>
      <c r="F56" s="5" t="s">
        <v>125</v>
      </c>
      <c r="G56" s="5">
        <v>22.57802684</v>
      </c>
      <c r="H56" s="5">
        <v>27.898085909999999</v>
      </c>
      <c r="I56" s="5">
        <v>26.460703819999999</v>
      </c>
      <c r="J56" s="5">
        <v>25.64560552</v>
      </c>
      <c r="K56" s="5">
        <v>7.3047452919999998</v>
      </c>
      <c r="L56" s="5">
        <v>2.569571549</v>
      </c>
      <c r="M56" s="5">
        <v>6.5502331690000002</v>
      </c>
      <c r="N56" s="5">
        <v>5.4748500030000002</v>
      </c>
    </row>
    <row r="57" spans="1:14" ht="15" x14ac:dyDescent="0.2">
      <c r="A57" s="19"/>
      <c r="B57" s="22"/>
      <c r="C57" s="5">
        <v>3038895</v>
      </c>
      <c r="D57" s="5">
        <v>3040682</v>
      </c>
      <c r="E57" s="5" t="s">
        <v>126</v>
      </c>
      <c r="F57" s="5" t="s">
        <v>127</v>
      </c>
      <c r="G57" s="5">
        <v>22.877604139999999</v>
      </c>
      <c r="H57" s="5">
        <v>34.41305157</v>
      </c>
      <c r="I57" s="5">
        <v>29.20346134</v>
      </c>
      <c r="J57" s="5">
        <v>28.831372349999999</v>
      </c>
      <c r="K57" s="5">
        <v>5.0519542749999999</v>
      </c>
      <c r="L57" s="5">
        <v>4.0639716210000003</v>
      </c>
      <c r="M57" s="5">
        <v>6.2932689240000004</v>
      </c>
      <c r="N57" s="5">
        <v>5.1363982730000002</v>
      </c>
    </row>
    <row r="58" spans="1:14" s="4" customFormat="1" ht="15" x14ac:dyDescent="0.2">
      <c r="A58" s="18" t="s">
        <v>128</v>
      </c>
      <c r="B58" s="21">
        <v>82.870999999999995</v>
      </c>
      <c r="C58" s="3">
        <v>3519449</v>
      </c>
      <c r="D58" s="3">
        <v>3520903</v>
      </c>
      <c r="E58" s="3" t="s">
        <v>129</v>
      </c>
      <c r="F58" s="3" t="s">
        <v>130</v>
      </c>
      <c r="G58" s="3">
        <v>0.74243422800000003</v>
      </c>
      <c r="H58" s="3">
        <v>0.77594547400000002</v>
      </c>
      <c r="I58" s="3">
        <v>0.96854497500000003</v>
      </c>
      <c r="J58" s="3">
        <v>0.82897489199999996</v>
      </c>
      <c r="K58" s="3">
        <v>115.70668980000001</v>
      </c>
      <c r="L58" s="3">
        <v>124.7585644</v>
      </c>
      <c r="M58" s="3">
        <v>62.70152015</v>
      </c>
      <c r="N58" s="3">
        <v>101.05559150000001</v>
      </c>
    </row>
    <row r="59" spans="1:14" s="4" customFormat="1" ht="15" x14ac:dyDescent="0.2">
      <c r="A59" s="18"/>
      <c r="B59" s="21"/>
      <c r="C59" s="3">
        <v>3520900</v>
      </c>
      <c r="D59" s="3">
        <v>3521676</v>
      </c>
      <c r="E59" s="3" t="s">
        <v>131</v>
      </c>
      <c r="F59" s="3" t="s">
        <v>132</v>
      </c>
      <c r="G59" s="3">
        <v>0.92684839200000002</v>
      </c>
      <c r="H59" s="3">
        <v>0.51893761000000005</v>
      </c>
      <c r="I59" s="3">
        <v>0.47728542200000001</v>
      </c>
      <c r="J59" s="3">
        <v>0.64102380800000003</v>
      </c>
      <c r="K59" s="3">
        <v>71.216689689999995</v>
      </c>
      <c r="L59" s="3">
        <v>65.81249579</v>
      </c>
      <c r="M59" s="3">
        <v>33.976549599999998</v>
      </c>
      <c r="N59" s="3">
        <v>57.00191169</v>
      </c>
    </row>
    <row r="60" spans="1:14" s="4" customFormat="1" ht="15" x14ac:dyDescent="0.2">
      <c r="A60" s="18"/>
      <c r="B60" s="21"/>
      <c r="C60" s="3">
        <v>3521673</v>
      </c>
      <c r="D60" s="3">
        <v>3522680</v>
      </c>
      <c r="E60" s="3" t="s">
        <v>133</v>
      </c>
      <c r="F60" s="3" t="s">
        <v>134</v>
      </c>
      <c r="G60" s="3">
        <v>0.57155650899999999</v>
      </c>
      <c r="H60" s="3">
        <v>0.40001440799999999</v>
      </c>
      <c r="I60" s="3">
        <v>0.29432601000000003</v>
      </c>
      <c r="J60" s="3">
        <v>0.42196564199999997</v>
      </c>
      <c r="K60" s="3">
        <v>69.996180870000003</v>
      </c>
      <c r="L60" s="3">
        <v>74.64721883</v>
      </c>
      <c r="M60" s="3">
        <v>38.212014289999999</v>
      </c>
      <c r="N60" s="3">
        <v>60.951804660000001</v>
      </c>
    </row>
    <row r="61" spans="1:14" s="4" customFormat="1" ht="15" x14ac:dyDescent="0.2">
      <c r="A61" s="18"/>
      <c r="B61" s="21"/>
      <c r="C61" s="3">
        <v>3522697</v>
      </c>
      <c r="D61" s="3">
        <v>3523299</v>
      </c>
      <c r="E61" s="3" t="s">
        <v>135</v>
      </c>
      <c r="F61" s="3" t="s">
        <v>136</v>
      </c>
      <c r="G61" s="3" t="s">
        <v>12</v>
      </c>
      <c r="H61" s="3">
        <v>0.53494464100000005</v>
      </c>
      <c r="I61" s="3" t="s">
        <v>12</v>
      </c>
      <c r="J61" s="3">
        <v>0.53494464100000005</v>
      </c>
      <c r="K61" s="3">
        <v>41.165303289999997</v>
      </c>
      <c r="L61" s="3">
        <v>40.318105590000002</v>
      </c>
      <c r="M61" s="3">
        <v>8.1819721350000005</v>
      </c>
      <c r="N61" s="3">
        <v>29.888460340000002</v>
      </c>
    </row>
    <row r="62" spans="1:14" s="4" customFormat="1" ht="15" x14ac:dyDescent="0.2">
      <c r="A62" s="18"/>
      <c r="B62" s="21"/>
      <c r="C62" s="3">
        <v>3523296</v>
      </c>
      <c r="D62" s="3">
        <v>3524831</v>
      </c>
      <c r="E62" s="3" t="s">
        <v>137</v>
      </c>
      <c r="F62" s="3" t="s">
        <v>138</v>
      </c>
      <c r="G62" s="3">
        <v>0.28131296900000002</v>
      </c>
      <c r="H62" s="3">
        <v>0.105003782</v>
      </c>
      <c r="I62" s="3">
        <v>1.0140450830000001</v>
      </c>
      <c r="J62" s="3">
        <v>0.46678727800000003</v>
      </c>
      <c r="K62" s="3">
        <v>61.910369529999997</v>
      </c>
      <c r="L62" s="3">
        <v>64.152059030000004</v>
      </c>
      <c r="M62" s="3">
        <v>32.346040739999999</v>
      </c>
      <c r="N62" s="3">
        <v>52.802823099999998</v>
      </c>
    </row>
    <row r="63" spans="1:14" s="4" customFormat="1" ht="15" x14ac:dyDescent="0.2">
      <c r="A63" s="18"/>
      <c r="B63" s="21"/>
      <c r="C63" s="3">
        <v>3524828</v>
      </c>
      <c r="D63" s="3">
        <v>3525844</v>
      </c>
      <c r="E63" s="3" t="s">
        <v>139</v>
      </c>
      <c r="F63" s="3" t="s">
        <v>140</v>
      </c>
      <c r="G63" s="3">
        <v>0.28324924299999998</v>
      </c>
      <c r="H63" s="3">
        <v>1.268718263</v>
      </c>
      <c r="I63" s="3">
        <v>0.43758203299999998</v>
      </c>
      <c r="J63" s="3">
        <v>0.66318317999999998</v>
      </c>
      <c r="K63" s="3">
        <v>124.7662442</v>
      </c>
      <c r="L63" s="3">
        <v>140.76155539999999</v>
      </c>
      <c r="M63" s="3">
        <v>77.024356530000006</v>
      </c>
      <c r="N63" s="3">
        <v>114.18405199999999</v>
      </c>
    </row>
    <row r="64" spans="1:14" s="4" customFormat="1" ht="15" x14ac:dyDescent="0.2">
      <c r="A64" s="18"/>
      <c r="B64" s="21"/>
      <c r="C64" s="3">
        <v>3526137</v>
      </c>
      <c r="D64" s="3">
        <v>3528527</v>
      </c>
      <c r="E64" s="3" t="s">
        <v>141</v>
      </c>
      <c r="F64" s="3" t="s">
        <v>142</v>
      </c>
      <c r="G64" s="3">
        <v>3.4938811919999999</v>
      </c>
      <c r="H64" s="3">
        <v>2.8668535720000001</v>
      </c>
      <c r="I64" s="3">
        <v>2.2645007480000001</v>
      </c>
      <c r="J64" s="3">
        <v>2.8750785040000002</v>
      </c>
      <c r="K64" s="3">
        <v>5.4734537359999997</v>
      </c>
      <c r="L64" s="3">
        <v>3.3798839489999999</v>
      </c>
      <c r="M64" s="3">
        <v>3.221891292</v>
      </c>
      <c r="N64" s="3">
        <v>4.0250763259999998</v>
      </c>
    </row>
    <row r="65" spans="1:14" s="4" customFormat="1" ht="15" x14ac:dyDescent="0.2">
      <c r="A65" s="18"/>
      <c r="B65" s="21"/>
      <c r="C65" s="3">
        <v>3529272</v>
      </c>
      <c r="D65" s="3">
        <v>3531188</v>
      </c>
      <c r="E65" s="3" t="s">
        <v>143</v>
      </c>
      <c r="F65" s="3" t="s">
        <v>144</v>
      </c>
      <c r="G65" s="3">
        <v>14.200361709999999</v>
      </c>
      <c r="H65" s="3">
        <v>15.64901435</v>
      </c>
      <c r="I65" s="3">
        <v>22.75015698</v>
      </c>
      <c r="J65" s="3">
        <v>17.533177680000001</v>
      </c>
      <c r="K65" s="3">
        <v>330.35907630000003</v>
      </c>
      <c r="L65" s="3">
        <v>316.06361959999998</v>
      </c>
      <c r="M65" s="3">
        <v>261.11482619999998</v>
      </c>
      <c r="N65" s="3">
        <v>302.5125074</v>
      </c>
    </row>
    <row r="66" spans="1:14" s="4" customFormat="1" ht="15" x14ac:dyDescent="0.2">
      <c r="A66" s="18"/>
      <c r="B66" s="21"/>
      <c r="C66" s="3">
        <v>3531250</v>
      </c>
      <c r="D66" s="3">
        <v>3531465</v>
      </c>
      <c r="E66" s="3" t="s">
        <v>145</v>
      </c>
      <c r="F66" s="3" t="s">
        <v>146</v>
      </c>
      <c r="G66" s="3">
        <v>30.67353263</v>
      </c>
      <c r="H66" s="3">
        <v>27.627661759999999</v>
      </c>
      <c r="I66" s="3">
        <v>44.639444920000003</v>
      </c>
      <c r="J66" s="3">
        <v>34.313546440000003</v>
      </c>
      <c r="K66" s="3">
        <v>4098.2575740000002</v>
      </c>
      <c r="L66" s="3">
        <v>4244.0671780000002</v>
      </c>
      <c r="M66" s="3">
        <v>3799.2760330000001</v>
      </c>
      <c r="N66" s="3">
        <v>4047.2002619999998</v>
      </c>
    </row>
    <row r="67" spans="1:14" s="4" customFormat="1" ht="15" x14ac:dyDescent="0.2">
      <c r="A67" s="18"/>
      <c r="B67" s="21"/>
      <c r="C67" s="3">
        <v>3531588</v>
      </c>
      <c r="D67" s="3">
        <v>3532763</v>
      </c>
      <c r="E67" s="3" t="s">
        <v>147</v>
      </c>
      <c r="F67" s="3" t="s">
        <v>148</v>
      </c>
      <c r="G67" s="3">
        <v>1.653431329</v>
      </c>
      <c r="H67" s="3">
        <v>0.89146068000000001</v>
      </c>
      <c r="I67" s="3">
        <v>1.0721876100000001</v>
      </c>
      <c r="J67" s="3">
        <v>1.2056932060000001</v>
      </c>
      <c r="K67" s="3">
        <v>3.6893148330000001</v>
      </c>
      <c r="L67" s="3">
        <v>4.3310016080000002</v>
      </c>
      <c r="M67" s="3">
        <v>2.0608726810000002</v>
      </c>
      <c r="N67" s="3">
        <v>3.360396374</v>
      </c>
    </row>
    <row r="68" spans="1:14" s="4" customFormat="1" ht="15" x14ac:dyDescent="0.2">
      <c r="A68" s="18"/>
      <c r="B68" s="21"/>
      <c r="C68" s="3">
        <v>3532971</v>
      </c>
      <c r="D68" s="3">
        <v>3533399</v>
      </c>
      <c r="E68" s="3" t="s">
        <v>149</v>
      </c>
      <c r="F68" s="3" t="s">
        <v>150</v>
      </c>
      <c r="G68" s="3">
        <v>0.33573948799999997</v>
      </c>
      <c r="H68" s="3">
        <v>0.75191519399999995</v>
      </c>
      <c r="I68" s="3">
        <v>0.69156321300000001</v>
      </c>
      <c r="J68" s="3">
        <v>0.59307263200000004</v>
      </c>
      <c r="K68" s="3">
        <v>405.52941879999997</v>
      </c>
      <c r="L68" s="3">
        <v>472.8379587</v>
      </c>
      <c r="M68" s="3">
        <v>249.7835336</v>
      </c>
      <c r="N68" s="3">
        <v>376.05030369999997</v>
      </c>
    </row>
    <row r="69" spans="1:14" s="4" customFormat="1" ht="15" x14ac:dyDescent="0.2">
      <c r="A69" s="18"/>
      <c r="B69" s="21"/>
      <c r="C69" s="3">
        <v>3533492</v>
      </c>
      <c r="D69" s="3">
        <v>3534346</v>
      </c>
      <c r="E69" s="3" t="s">
        <v>151</v>
      </c>
      <c r="F69" s="3" t="s">
        <v>152</v>
      </c>
      <c r="G69" s="3">
        <v>0.84229380200000004</v>
      </c>
      <c r="H69" s="3">
        <v>0.75455349299999996</v>
      </c>
      <c r="I69" s="3">
        <v>0.34699487600000001</v>
      </c>
      <c r="J69" s="3">
        <v>0.64794739000000001</v>
      </c>
      <c r="K69" s="3">
        <v>184.67583200000001</v>
      </c>
      <c r="L69" s="3">
        <v>198.64698609999999</v>
      </c>
      <c r="M69" s="3">
        <v>79.773850569999993</v>
      </c>
      <c r="N69" s="3">
        <v>154.36555619999999</v>
      </c>
    </row>
    <row r="70" spans="1:14" s="4" customFormat="1" ht="15" x14ac:dyDescent="0.2">
      <c r="A70" s="18"/>
      <c r="B70" s="21"/>
      <c r="C70" s="3">
        <v>3534444</v>
      </c>
      <c r="D70" s="3">
        <v>3534899</v>
      </c>
      <c r="E70" s="3" t="s">
        <v>153</v>
      </c>
      <c r="F70" s="3" t="s">
        <v>154</v>
      </c>
      <c r="G70" s="3">
        <v>1.579300879</v>
      </c>
      <c r="H70" s="3">
        <v>4.7749088239999997</v>
      </c>
      <c r="I70" s="3">
        <v>7.807384699</v>
      </c>
      <c r="J70" s="3">
        <v>4.7205314669999998</v>
      </c>
      <c r="K70" s="3">
        <v>1516.868637</v>
      </c>
      <c r="L70" s="3">
        <v>1738.7071900000001</v>
      </c>
      <c r="M70" s="3">
        <v>918.90516479999997</v>
      </c>
      <c r="N70" s="3">
        <v>1391.4936640000001</v>
      </c>
    </row>
    <row r="71" spans="1:14" s="4" customFormat="1" ht="15" x14ac:dyDescent="0.2">
      <c r="A71" s="18"/>
      <c r="B71" s="21"/>
      <c r="C71" s="3">
        <v>3535054</v>
      </c>
      <c r="D71" s="3">
        <v>3535848</v>
      </c>
      <c r="E71" s="3" t="s">
        <v>155</v>
      </c>
      <c r="F71" s="3" t="s">
        <v>156</v>
      </c>
      <c r="G71" s="3">
        <v>5.7975241329999996</v>
      </c>
      <c r="H71" s="3">
        <v>4.7675679439999996</v>
      </c>
      <c r="I71" s="3">
        <v>4.5714938079999996</v>
      </c>
      <c r="J71" s="3">
        <v>5.0455286279999996</v>
      </c>
      <c r="K71" s="3">
        <v>3.6680895759999999</v>
      </c>
      <c r="L71" s="3">
        <v>3.160596092</v>
      </c>
      <c r="M71" s="3">
        <v>4.3550517019999999</v>
      </c>
      <c r="N71" s="3">
        <v>3.727912457</v>
      </c>
    </row>
    <row r="72" spans="1:14" s="4" customFormat="1" ht="15" x14ac:dyDescent="0.2">
      <c r="A72" s="18"/>
      <c r="B72" s="21"/>
      <c r="C72" s="3">
        <v>3535855</v>
      </c>
      <c r="D72" s="3">
        <v>3536808</v>
      </c>
      <c r="E72" s="3" t="s">
        <v>157</v>
      </c>
      <c r="F72" s="3" t="s">
        <v>158</v>
      </c>
      <c r="G72" s="3">
        <v>15.928093649999999</v>
      </c>
      <c r="H72" s="3">
        <v>14.201266220000001</v>
      </c>
      <c r="I72" s="3">
        <v>15.082819710000001</v>
      </c>
      <c r="J72" s="3">
        <v>15.07072653</v>
      </c>
      <c r="K72" s="3">
        <v>9.3938879380000007</v>
      </c>
      <c r="L72" s="3">
        <v>8.399782407</v>
      </c>
      <c r="M72" s="3">
        <v>8.5286429170000009</v>
      </c>
      <c r="N72" s="3">
        <v>8.7741044210000005</v>
      </c>
    </row>
    <row r="73" spans="1:14" s="4" customFormat="1" ht="15" x14ac:dyDescent="0.2">
      <c r="A73" s="18"/>
      <c r="B73" s="21"/>
      <c r="C73" s="3">
        <v>3536945</v>
      </c>
      <c r="D73" s="3">
        <v>3538660</v>
      </c>
      <c r="E73" s="3" t="s">
        <v>159</v>
      </c>
      <c r="F73" s="3" t="s">
        <v>160</v>
      </c>
      <c r="G73" s="3">
        <v>12.2544913</v>
      </c>
      <c r="H73" s="3">
        <v>9.6339134269999995</v>
      </c>
      <c r="I73" s="3">
        <v>10.97856601</v>
      </c>
      <c r="J73" s="3">
        <v>10.95565691</v>
      </c>
      <c r="K73" s="3">
        <v>7.7922660190000004</v>
      </c>
      <c r="L73" s="3">
        <v>9.6562154279999994</v>
      </c>
      <c r="M73" s="3">
        <v>6.6582040449999997</v>
      </c>
      <c r="N73" s="3">
        <v>8.0355618310000008</v>
      </c>
    </row>
    <row r="74" spans="1:14" s="4" customFormat="1" ht="15" x14ac:dyDescent="0.2">
      <c r="A74" s="18"/>
      <c r="B74" s="21"/>
      <c r="C74" s="3">
        <v>3538679</v>
      </c>
      <c r="D74" s="3">
        <v>3539347</v>
      </c>
      <c r="E74" s="3" t="s">
        <v>161</v>
      </c>
      <c r="F74" s="3" t="s">
        <v>162</v>
      </c>
      <c r="G74" s="3">
        <v>76.860253729999997</v>
      </c>
      <c r="H74" s="3">
        <v>73.651442009999997</v>
      </c>
      <c r="I74" s="3">
        <v>73.837553049999997</v>
      </c>
      <c r="J74" s="3">
        <v>74.783082930000006</v>
      </c>
      <c r="K74" s="3">
        <v>34.977839840000001</v>
      </c>
      <c r="L74" s="3">
        <v>41.009988800000002</v>
      </c>
      <c r="M74" s="3">
        <v>37.520820999999998</v>
      </c>
      <c r="N74" s="3">
        <v>37.836216550000003</v>
      </c>
    </row>
    <row r="75" spans="1:14" s="4" customFormat="1" ht="15" x14ac:dyDescent="0.2">
      <c r="A75" s="18"/>
      <c r="B75" s="21"/>
      <c r="C75" s="3">
        <v>3539337</v>
      </c>
      <c r="D75" s="3">
        <v>3540671</v>
      </c>
      <c r="E75" s="3" t="s">
        <v>163</v>
      </c>
      <c r="F75" s="3" t="s">
        <v>164</v>
      </c>
      <c r="G75" s="3">
        <v>1.1867825030000001</v>
      </c>
      <c r="H75" s="3">
        <v>0.48325336099999999</v>
      </c>
      <c r="I75" s="3">
        <v>0.72225618800000002</v>
      </c>
      <c r="J75" s="3">
        <v>0.79743068399999995</v>
      </c>
      <c r="K75" s="3">
        <v>88.333708790000003</v>
      </c>
      <c r="L75" s="3">
        <v>90.292462</v>
      </c>
      <c r="M75" s="3">
        <v>50.76693556</v>
      </c>
      <c r="N75" s="3">
        <v>76.464368780000001</v>
      </c>
    </row>
    <row r="76" spans="1:14" s="4" customFormat="1" ht="15" x14ac:dyDescent="0.2">
      <c r="A76" s="18"/>
      <c r="B76" s="21"/>
      <c r="C76" s="3">
        <v>3540668</v>
      </c>
      <c r="D76" s="3">
        <v>3541801</v>
      </c>
      <c r="E76" s="3" t="s">
        <v>165</v>
      </c>
      <c r="F76" s="3" t="s">
        <v>166</v>
      </c>
      <c r="G76" s="3" t="s">
        <v>12</v>
      </c>
      <c r="H76" s="3">
        <v>0.28445469000000001</v>
      </c>
      <c r="I76" s="3">
        <v>6.5405779999999997E-2</v>
      </c>
      <c r="J76" s="3">
        <v>0.17493023499999999</v>
      </c>
      <c r="K76" s="3">
        <v>66.295665929999998</v>
      </c>
      <c r="L76" s="3">
        <v>62.220987059999999</v>
      </c>
      <c r="M76" s="3">
        <v>23.967185990000001</v>
      </c>
      <c r="N76" s="3">
        <v>50.827946330000003</v>
      </c>
    </row>
    <row r="77" spans="1:14" s="4" customFormat="1" ht="15" x14ac:dyDescent="0.2">
      <c r="A77" s="18"/>
      <c r="B77" s="21"/>
      <c r="C77" s="3">
        <v>3541951</v>
      </c>
      <c r="D77" s="3">
        <v>3543066</v>
      </c>
      <c r="E77" s="3" t="s">
        <v>167</v>
      </c>
      <c r="F77" s="3" t="s">
        <v>168</v>
      </c>
      <c r="G77" s="3">
        <v>0.25812229399999997</v>
      </c>
      <c r="H77" s="3">
        <v>0.43356400299999998</v>
      </c>
      <c r="I77" s="3">
        <v>1.3292142410000001</v>
      </c>
      <c r="J77" s="3">
        <v>0.67363351299999996</v>
      </c>
      <c r="K77" s="3">
        <v>237.21130289999999</v>
      </c>
      <c r="L77" s="3">
        <v>256.1233269</v>
      </c>
      <c r="M77" s="3">
        <v>140.69334029999999</v>
      </c>
      <c r="N77" s="3">
        <v>211.34265669999999</v>
      </c>
    </row>
    <row r="78" spans="1:14" s="4" customFormat="1" ht="15" x14ac:dyDescent="0.2">
      <c r="A78" s="18"/>
      <c r="B78" s="21"/>
      <c r="C78" s="3">
        <v>3543335</v>
      </c>
      <c r="D78" s="3">
        <v>3565726</v>
      </c>
      <c r="E78" s="3" t="s">
        <v>169</v>
      </c>
      <c r="F78" s="3" t="s">
        <v>170</v>
      </c>
      <c r="G78" s="3">
        <v>0.57890771799999996</v>
      </c>
      <c r="H78" s="3">
        <v>0.59063220599999999</v>
      </c>
      <c r="I78" s="3">
        <v>0.86452350700000002</v>
      </c>
      <c r="J78" s="3">
        <v>0.67802114400000002</v>
      </c>
      <c r="K78" s="3">
        <v>74.806557870000006</v>
      </c>
      <c r="L78" s="3">
        <v>79.41042315</v>
      </c>
      <c r="M78" s="3">
        <v>43.398157310000002</v>
      </c>
      <c r="N78" s="3">
        <v>65.871712779999996</v>
      </c>
    </row>
    <row r="79" spans="1:14" s="4" customFormat="1" ht="15" x14ac:dyDescent="0.2">
      <c r="A79" s="18"/>
      <c r="B79" s="21"/>
      <c r="C79" s="3">
        <v>3565723</v>
      </c>
      <c r="D79" s="3">
        <v>3576735</v>
      </c>
      <c r="E79" s="3" t="s">
        <v>171</v>
      </c>
      <c r="F79" s="3" t="s">
        <v>172</v>
      </c>
      <c r="G79" s="3">
        <v>1.11820181</v>
      </c>
      <c r="H79" s="3">
        <v>0.93728246500000001</v>
      </c>
      <c r="I79" s="3">
        <v>0.88899123000000002</v>
      </c>
      <c r="J79" s="3">
        <v>0.98149183500000003</v>
      </c>
      <c r="K79" s="3">
        <v>78.745934140000003</v>
      </c>
      <c r="L79" s="3">
        <v>79.065047590000006</v>
      </c>
      <c r="M79" s="3">
        <v>50.882390700000002</v>
      </c>
      <c r="N79" s="3">
        <v>69.564457480000002</v>
      </c>
    </row>
    <row r="80" spans="1:14" s="4" customFormat="1" ht="15" x14ac:dyDescent="0.2">
      <c r="A80" s="18"/>
      <c r="B80" s="21"/>
      <c r="C80" s="3">
        <v>3576735</v>
      </c>
      <c r="D80" s="3">
        <v>3583988</v>
      </c>
      <c r="E80" s="3" t="s">
        <v>173</v>
      </c>
      <c r="F80" s="3" t="s">
        <v>174</v>
      </c>
      <c r="G80" s="3">
        <v>0.63537795500000005</v>
      </c>
      <c r="H80" s="3">
        <v>0.94494718600000005</v>
      </c>
      <c r="I80" s="3">
        <v>0.84865216899999996</v>
      </c>
      <c r="J80" s="3">
        <v>0.80965910299999999</v>
      </c>
      <c r="K80" s="3">
        <v>63.791044370000002</v>
      </c>
      <c r="L80" s="3">
        <v>64.343280010000001</v>
      </c>
      <c r="M80" s="3">
        <v>39.555459509999999</v>
      </c>
      <c r="N80" s="3">
        <v>55.896594630000003</v>
      </c>
    </row>
    <row r="81" spans="1:14" s="4" customFormat="1" ht="15" x14ac:dyDescent="0.2">
      <c r="A81" s="18"/>
      <c r="B81" s="21"/>
      <c r="C81" s="3">
        <v>3583992</v>
      </c>
      <c r="D81" s="3">
        <v>3584810</v>
      </c>
      <c r="E81" s="3" t="s">
        <v>175</v>
      </c>
      <c r="F81" s="3" t="s">
        <v>176</v>
      </c>
      <c r="G81" s="3">
        <v>0.79138593499999998</v>
      </c>
      <c r="H81" s="3">
        <v>2.4616271240000001</v>
      </c>
      <c r="I81" s="3">
        <v>1.44898959</v>
      </c>
      <c r="J81" s="3">
        <v>1.5673342159999999</v>
      </c>
      <c r="K81" s="3">
        <v>158.22958009999999</v>
      </c>
      <c r="L81" s="3">
        <v>160.11527860000001</v>
      </c>
      <c r="M81" s="3">
        <v>105.0516638</v>
      </c>
      <c r="N81" s="3">
        <v>141.13217420000001</v>
      </c>
    </row>
    <row r="82" spans="1:14" s="4" customFormat="1" ht="15" x14ac:dyDescent="0.2">
      <c r="A82" s="18"/>
      <c r="B82" s="21"/>
      <c r="C82" s="3">
        <v>3584822</v>
      </c>
      <c r="D82" s="3">
        <v>3585724</v>
      </c>
      <c r="E82" s="3" t="s">
        <v>177</v>
      </c>
      <c r="F82" s="3" t="s">
        <v>178</v>
      </c>
      <c r="G82" s="3">
        <v>0.63801656799999995</v>
      </c>
      <c r="H82" s="3">
        <v>0.80374988000000003</v>
      </c>
      <c r="I82" s="3">
        <v>1.5606123350000001</v>
      </c>
      <c r="J82" s="3">
        <v>1.0007929280000001</v>
      </c>
      <c r="K82" s="3">
        <v>115.312538</v>
      </c>
      <c r="L82" s="3">
        <v>109.7992842</v>
      </c>
      <c r="M82" s="3">
        <v>58.75883503</v>
      </c>
      <c r="N82" s="3">
        <v>94.623552410000002</v>
      </c>
    </row>
    <row r="83" spans="1:14" s="4" customFormat="1" ht="15" x14ac:dyDescent="0.2">
      <c r="A83" s="18"/>
      <c r="B83" s="21"/>
      <c r="C83" s="3">
        <v>3585800</v>
      </c>
      <c r="D83" s="3">
        <v>3587647</v>
      </c>
      <c r="E83" s="3" t="s">
        <v>179</v>
      </c>
      <c r="F83" s="3" t="s">
        <v>180</v>
      </c>
      <c r="G83" s="3">
        <v>0.70145571500000004</v>
      </c>
      <c r="H83" s="3">
        <v>1.0909483849999999</v>
      </c>
      <c r="I83" s="3">
        <v>1.0033841269999999</v>
      </c>
      <c r="J83" s="3">
        <v>0.93192940899999999</v>
      </c>
      <c r="K83" s="3">
        <v>144.2901478</v>
      </c>
      <c r="L83" s="3">
        <v>148.7554686</v>
      </c>
      <c r="M83" s="3">
        <v>65.432707609999994</v>
      </c>
      <c r="N83" s="3">
        <v>119.4927747</v>
      </c>
    </row>
    <row r="84" spans="1:14" s="4" customFormat="1" ht="15" x14ac:dyDescent="0.2">
      <c r="A84" s="18"/>
      <c r="B84" s="21"/>
      <c r="C84" s="3">
        <v>3587687</v>
      </c>
      <c r="D84" s="3">
        <v>3588688</v>
      </c>
      <c r="E84" s="3" t="s">
        <v>181</v>
      </c>
      <c r="F84" s="3" t="s">
        <v>182</v>
      </c>
      <c r="G84" s="3">
        <v>1.7249370079999999</v>
      </c>
      <c r="H84" s="3">
        <v>1.0462652290000001</v>
      </c>
      <c r="I84" s="3">
        <v>2.2946854229999998</v>
      </c>
      <c r="J84" s="3">
        <v>1.6886292199999999</v>
      </c>
      <c r="K84" s="3">
        <v>441.30246219999998</v>
      </c>
      <c r="L84" s="3">
        <v>514.67997909999997</v>
      </c>
      <c r="M84" s="3">
        <v>245.50300060000001</v>
      </c>
      <c r="N84" s="3">
        <v>400.49514729999999</v>
      </c>
    </row>
    <row r="85" spans="1:14" s="4" customFormat="1" ht="15" x14ac:dyDescent="0.2">
      <c r="A85" s="18"/>
      <c r="B85" s="21"/>
      <c r="C85" s="3">
        <v>3588746</v>
      </c>
      <c r="D85" s="3">
        <v>3590134</v>
      </c>
      <c r="E85" s="3" t="s">
        <v>183</v>
      </c>
      <c r="F85" s="3" t="s">
        <v>184</v>
      </c>
      <c r="G85" s="3" t="s">
        <v>12</v>
      </c>
      <c r="H85" s="3">
        <v>0.116116493</v>
      </c>
      <c r="I85" s="3">
        <v>0.320389437</v>
      </c>
      <c r="J85" s="3">
        <v>0.21825296499999999</v>
      </c>
      <c r="K85" s="3">
        <v>45.522145219999999</v>
      </c>
      <c r="L85" s="3">
        <v>46.2023394</v>
      </c>
      <c r="M85" s="3">
        <v>24.98863764</v>
      </c>
      <c r="N85" s="3">
        <v>38.904374089999997</v>
      </c>
    </row>
    <row r="86" spans="1:14" s="4" customFormat="1" ht="15" x14ac:dyDescent="0.2">
      <c r="A86" s="18"/>
      <c r="B86" s="21"/>
      <c r="C86" s="3">
        <v>3590146</v>
      </c>
      <c r="D86" s="3">
        <v>3591306</v>
      </c>
      <c r="E86" s="3" t="s">
        <v>185</v>
      </c>
      <c r="F86" s="3" t="s">
        <v>186</v>
      </c>
      <c r="G86" s="3" t="s">
        <v>12</v>
      </c>
      <c r="H86" s="3" t="s">
        <v>12</v>
      </c>
      <c r="I86" s="3">
        <v>0.638847155</v>
      </c>
      <c r="J86" s="3">
        <v>0.638847155</v>
      </c>
      <c r="K86" s="3">
        <v>36.573398330000003</v>
      </c>
      <c r="L86" s="3">
        <v>34.452241149999999</v>
      </c>
      <c r="M86" s="3">
        <v>12.30133305</v>
      </c>
      <c r="N86" s="3">
        <v>27.775657509999998</v>
      </c>
    </row>
    <row r="87" spans="1:14" s="4" customFormat="1" ht="15" x14ac:dyDescent="0.2">
      <c r="A87" s="18"/>
      <c r="B87" s="21"/>
      <c r="C87" s="3">
        <v>3591313</v>
      </c>
      <c r="D87" s="3">
        <v>3592182</v>
      </c>
      <c r="E87" s="3" t="s">
        <v>187</v>
      </c>
      <c r="F87" s="3" t="s">
        <v>188</v>
      </c>
      <c r="G87" s="3">
        <v>0.49666289699999999</v>
      </c>
      <c r="H87" s="3">
        <v>0.55615796299999998</v>
      </c>
      <c r="I87" s="3">
        <v>0.51151830799999998</v>
      </c>
      <c r="J87" s="3">
        <v>0.52144638899999995</v>
      </c>
      <c r="K87" s="3">
        <v>113.2279711</v>
      </c>
      <c r="L87" s="3">
        <v>116.6180428</v>
      </c>
      <c r="M87" s="3">
        <v>54.122780470000002</v>
      </c>
      <c r="N87" s="3">
        <v>94.656264789999994</v>
      </c>
    </row>
    <row r="88" spans="1:14" s="4" customFormat="1" ht="15" x14ac:dyDescent="0.2">
      <c r="A88" s="18"/>
      <c r="B88" s="21"/>
      <c r="C88" s="3">
        <v>3592179</v>
      </c>
      <c r="D88" s="3">
        <v>3592889</v>
      </c>
      <c r="E88" s="3" t="s">
        <v>189</v>
      </c>
      <c r="F88" s="3" t="s">
        <v>190</v>
      </c>
      <c r="G88" s="3">
        <v>0.20257699000000001</v>
      </c>
      <c r="H88" s="3" t="s">
        <v>12</v>
      </c>
      <c r="I88" s="3">
        <v>0.20863615899999999</v>
      </c>
      <c r="J88" s="3">
        <v>0.20560657500000001</v>
      </c>
      <c r="K88" s="3">
        <v>36.412876449999999</v>
      </c>
      <c r="L88" s="3">
        <v>40.975295559999999</v>
      </c>
      <c r="M88" s="3">
        <v>19.478290309999998</v>
      </c>
      <c r="N88" s="3">
        <v>32.288820770000001</v>
      </c>
    </row>
    <row r="89" spans="1:14" s="4" customFormat="1" ht="15" x14ac:dyDescent="0.2">
      <c r="A89" s="18"/>
      <c r="B89" s="21"/>
      <c r="C89" s="3">
        <v>3592886</v>
      </c>
      <c r="D89" s="3">
        <v>3593758</v>
      </c>
      <c r="E89" s="3" t="s">
        <v>191</v>
      </c>
      <c r="F89" s="3" t="s">
        <v>192</v>
      </c>
      <c r="G89" s="3">
        <v>0.16498538400000001</v>
      </c>
      <c r="H89" s="3">
        <v>0.18474892200000001</v>
      </c>
      <c r="I89" s="3">
        <v>0.33984034200000002</v>
      </c>
      <c r="J89" s="3">
        <v>0.229858216</v>
      </c>
      <c r="K89" s="3">
        <v>47.57971191</v>
      </c>
      <c r="L89" s="3">
        <v>41.228357119999998</v>
      </c>
      <c r="M89" s="3">
        <v>17.152692890000001</v>
      </c>
      <c r="N89" s="3">
        <v>35.320253970000003</v>
      </c>
    </row>
    <row r="90" spans="1:14" s="4" customFormat="1" ht="15" x14ac:dyDescent="0.2">
      <c r="A90" s="18"/>
      <c r="B90" s="21"/>
      <c r="C90" s="3">
        <v>3593755</v>
      </c>
      <c r="D90" s="3">
        <v>3594630</v>
      </c>
      <c r="E90" s="3" t="s">
        <v>193</v>
      </c>
      <c r="F90" s="3" t="s">
        <v>194</v>
      </c>
      <c r="G90" s="3">
        <v>0.16442036500000001</v>
      </c>
      <c r="H90" s="3">
        <v>0.276174331</v>
      </c>
      <c r="I90" s="3">
        <v>8.4669125999999997E-2</v>
      </c>
      <c r="J90" s="3">
        <v>0.175087941</v>
      </c>
      <c r="K90" s="3">
        <v>27.849231710000002</v>
      </c>
      <c r="L90" s="3">
        <v>28.683491929999999</v>
      </c>
      <c r="M90" s="3">
        <v>16.204670119999999</v>
      </c>
      <c r="N90" s="3">
        <v>24.245797920000001</v>
      </c>
    </row>
    <row r="91" spans="1:14" s="4" customFormat="1" ht="15" x14ac:dyDescent="0.2">
      <c r="A91" s="18"/>
      <c r="B91" s="21"/>
      <c r="C91" s="3">
        <v>3594627</v>
      </c>
      <c r="D91" s="3">
        <v>3595793</v>
      </c>
      <c r="E91" s="3" t="s">
        <v>195</v>
      </c>
      <c r="F91" s="3" t="s">
        <v>196</v>
      </c>
      <c r="G91" s="3">
        <v>0.98736754199999999</v>
      </c>
      <c r="H91" s="3">
        <v>0.483719222</v>
      </c>
      <c r="I91" s="3">
        <v>0.38133755600000002</v>
      </c>
      <c r="J91" s="3">
        <v>0.61747477299999998</v>
      </c>
      <c r="K91" s="3">
        <v>149.13731430000001</v>
      </c>
      <c r="L91" s="3">
        <v>164.91622810000001</v>
      </c>
      <c r="M91" s="3">
        <v>73.131841859999994</v>
      </c>
      <c r="N91" s="3">
        <v>129.0617948</v>
      </c>
    </row>
    <row r="92" spans="1:14" s="4" customFormat="1" ht="15" x14ac:dyDescent="0.2">
      <c r="A92" s="18"/>
      <c r="B92" s="21"/>
      <c r="C92" s="3">
        <v>3595843</v>
      </c>
      <c r="D92" s="3">
        <v>3596640</v>
      </c>
      <c r="E92" s="3" t="s">
        <v>197</v>
      </c>
      <c r="F92" s="3" t="s">
        <v>198</v>
      </c>
      <c r="G92" s="3">
        <v>2.1658983489999999</v>
      </c>
      <c r="H92" s="3">
        <v>0.80845017100000005</v>
      </c>
      <c r="I92" s="3">
        <v>2.5095165100000001</v>
      </c>
      <c r="J92" s="3">
        <v>1.8279550099999999</v>
      </c>
      <c r="K92" s="3">
        <v>679.69975639999996</v>
      </c>
      <c r="L92" s="3">
        <v>694.67442219999998</v>
      </c>
      <c r="M92" s="3">
        <v>377.8989694</v>
      </c>
      <c r="N92" s="3">
        <v>584.09104930000001</v>
      </c>
    </row>
    <row r="93" spans="1:14" s="4" customFormat="1" ht="15" x14ac:dyDescent="0.2">
      <c r="A93" s="18"/>
      <c r="B93" s="21"/>
      <c r="C93" s="3">
        <v>3596708</v>
      </c>
      <c r="D93" s="3">
        <v>3597970</v>
      </c>
      <c r="E93" s="3" t="s">
        <v>199</v>
      </c>
      <c r="F93" s="3" t="s">
        <v>200</v>
      </c>
      <c r="G93" s="3">
        <v>0.68423867100000002</v>
      </c>
      <c r="H93" s="3">
        <v>0.31925140400000002</v>
      </c>
      <c r="I93" s="3">
        <v>0.64597917699999996</v>
      </c>
      <c r="J93" s="3">
        <v>0.54982308400000002</v>
      </c>
      <c r="K93" s="3">
        <v>85.766908779999994</v>
      </c>
      <c r="L93" s="3">
        <v>89.310122539999995</v>
      </c>
      <c r="M93" s="3">
        <v>40.913952170000002</v>
      </c>
      <c r="N93" s="3">
        <v>71.9969945</v>
      </c>
    </row>
    <row r="94" spans="1:14" s="4" customFormat="1" ht="15" x14ac:dyDescent="0.2">
      <c r="A94" s="18"/>
      <c r="B94" s="21"/>
      <c r="C94" s="3">
        <v>3598017</v>
      </c>
      <c r="D94" s="3">
        <v>3599009</v>
      </c>
      <c r="E94" s="3" t="s">
        <v>201</v>
      </c>
      <c r="F94" s="3" t="s">
        <v>202</v>
      </c>
      <c r="G94" s="3">
        <v>0.14504757300000001</v>
      </c>
      <c r="H94" s="3">
        <v>0.32484553700000002</v>
      </c>
      <c r="I94" s="3">
        <v>0.44815803399999998</v>
      </c>
      <c r="J94" s="3">
        <v>0.30601704800000001</v>
      </c>
      <c r="K94" s="3">
        <v>83.94630171</v>
      </c>
      <c r="L94" s="3">
        <v>88.084809190000001</v>
      </c>
      <c r="M94" s="3">
        <v>43.93207744</v>
      </c>
      <c r="N94" s="3">
        <v>71.987729450000003</v>
      </c>
    </row>
    <row r="95" spans="1:14" s="4" customFormat="1" ht="15" x14ac:dyDescent="0.2">
      <c r="A95" s="18"/>
      <c r="B95" s="21"/>
      <c r="C95" s="3">
        <v>3599006</v>
      </c>
      <c r="D95" s="3">
        <v>3600808</v>
      </c>
      <c r="E95" s="3" t="s">
        <v>203</v>
      </c>
      <c r="F95" s="3" t="s">
        <v>204</v>
      </c>
      <c r="G95" s="3">
        <v>0.15976953999999999</v>
      </c>
      <c r="H95" s="3">
        <v>0.40254361700000002</v>
      </c>
      <c r="I95" s="3">
        <v>0.287959558</v>
      </c>
      <c r="J95" s="3">
        <v>0.283424238</v>
      </c>
      <c r="K95" s="3">
        <v>177.83260290000001</v>
      </c>
      <c r="L95" s="3">
        <v>190.3215539</v>
      </c>
      <c r="M95" s="3">
        <v>98.174350820000001</v>
      </c>
      <c r="N95" s="3">
        <v>155.44283590000001</v>
      </c>
    </row>
    <row r="96" spans="1:14" s="4" customFormat="1" ht="15" x14ac:dyDescent="0.2">
      <c r="A96" s="18"/>
      <c r="B96" s="21"/>
      <c r="C96" s="3">
        <v>3600858</v>
      </c>
      <c r="D96" s="3">
        <v>3602078</v>
      </c>
      <c r="E96" s="3" t="s">
        <v>205</v>
      </c>
      <c r="F96" s="3" t="s">
        <v>206</v>
      </c>
      <c r="G96" s="3">
        <v>0.53083135199999998</v>
      </c>
      <c r="H96" s="3">
        <v>1.453025308</v>
      </c>
      <c r="I96" s="3">
        <v>0.24298167000000001</v>
      </c>
      <c r="J96" s="3">
        <v>0.74227944300000004</v>
      </c>
      <c r="K96" s="3">
        <v>155.58990969999999</v>
      </c>
      <c r="L96" s="3">
        <v>159.73613610000001</v>
      </c>
      <c r="M96" s="3">
        <v>59.193124410000003</v>
      </c>
      <c r="N96" s="3">
        <v>124.8397234</v>
      </c>
    </row>
    <row r="97" spans="1:14" s="4" customFormat="1" ht="15" x14ac:dyDescent="0.2">
      <c r="A97" s="18"/>
      <c r="B97" s="21"/>
      <c r="C97" s="3">
        <v>3602075</v>
      </c>
      <c r="D97" s="3">
        <v>3602320</v>
      </c>
      <c r="E97" s="3" t="s">
        <v>207</v>
      </c>
      <c r="F97" s="3" t="s">
        <v>208</v>
      </c>
      <c r="G97" s="3">
        <v>4.6839752900000002</v>
      </c>
      <c r="H97" s="3">
        <v>4.9172502800000002</v>
      </c>
      <c r="I97" s="3">
        <v>4.5225704049999997</v>
      </c>
      <c r="J97" s="3">
        <v>4.7079319919999998</v>
      </c>
      <c r="K97" s="3">
        <v>521.00619129999995</v>
      </c>
      <c r="L97" s="3">
        <v>661.15732519999995</v>
      </c>
      <c r="M97" s="3">
        <v>330.39307630000002</v>
      </c>
      <c r="N97" s="3">
        <v>504.1855309</v>
      </c>
    </row>
    <row r="98" spans="1:14" ht="15" x14ac:dyDescent="0.2">
      <c r="A98" s="19" t="s">
        <v>209</v>
      </c>
      <c r="B98" s="22">
        <v>21.282</v>
      </c>
      <c r="C98" s="5">
        <v>5513809</v>
      </c>
      <c r="D98" s="5">
        <v>5514249</v>
      </c>
      <c r="E98" s="5" t="s">
        <v>210</v>
      </c>
      <c r="F98" s="5" t="s">
        <v>211</v>
      </c>
      <c r="G98" s="5">
        <v>0.32660371900000001</v>
      </c>
      <c r="H98" s="5">
        <v>2.560092209</v>
      </c>
      <c r="I98" s="5">
        <v>0.67274516699999998</v>
      </c>
      <c r="J98" s="5">
        <v>1.186480365</v>
      </c>
      <c r="K98" s="5">
        <v>1304.1223930000001</v>
      </c>
      <c r="L98" s="5">
        <v>1056.533406</v>
      </c>
      <c r="M98" s="5">
        <v>1339.9597900000001</v>
      </c>
      <c r="N98" s="5">
        <v>1233.53853</v>
      </c>
    </row>
    <row r="99" spans="1:14" ht="15" x14ac:dyDescent="0.2">
      <c r="A99" s="19"/>
      <c r="B99" s="22"/>
      <c r="C99" s="5">
        <v>5514323</v>
      </c>
      <c r="D99" s="5">
        <v>5515246</v>
      </c>
      <c r="E99" s="5" t="s">
        <v>212</v>
      </c>
      <c r="F99" s="5" t="s">
        <v>213</v>
      </c>
      <c r="G99" s="5">
        <v>0.46763714299999998</v>
      </c>
      <c r="H99" s="5" t="s">
        <v>12</v>
      </c>
      <c r="I99" s="5">
        <v>1.2040609520000001</v>
      </c>
      <c r="J99" s="5">
        <v>0.83584904800000004</v>
      </c>
      <c r="K99" s="5">
        <v>721.18132539999999</v>
      </c>
      <c r="L99" s="5">
        <v>686.45063070000003</v>
      </c>
      <c r="M99" s="5">
        <v>630.90806829999997</v>
      </c>
      <c r="N99" s="5">
        <v>679.51334150000002</v>
      </c>
    </row>
    <row r="100" spans="1:14" ht="15" x14ac:dyDescent="0.2">
      <c r="A100" s="19"/>
      <c r="B100" s="22"/>
      <c r="C100" s="5">
        <v>5515243</v>
      </c>
      <c r="D100" s="5">
        <v>5516232</v>
      </c>
      <c r="E100" s="5" t="s">
        <v>214</v>
      </c>
      <c r="F100" s="5" t="s">
        <v>215</v>
      </c>
      <c r="G100" s="5">
        <v>0.58194844499999998</v>
      </c>
      <c r="H100" s="5">
        <v>0.81457479399999999</v>
      </c>
      <c r="I100" s="5">
        <v>0.74919348100000005</v>
      </c>
      <c r="J100" s="5">
        <v>0.71523890700000003</v>
      </c>
      <c r="K100" s="5">
        <v>535.52210049999996</v>
      </c>
      <c r="L100" s="5">
        <v>456.6440106</v>
      </c>
      <c r="M100" s="5">
        <v>489.08880260000001</v>
      </c>
      <c r="N100" s="5">
        <v>493.75163789999999</v>
      </c>
    </row>
    <row r="101" spans="1:14" ht="15" x14ac:dyDescent="0.2">
      <c r="A101" s="19"/>
      <c r="B101" s="22"/>
      <c r="C101" s="5">
        <v>5516299</v>
      </c>
      <c r="D101" s="5">
        <v>5516943</v>
      </c>
      <c r="E101" s="5" t="s">
        <v>216</v>
      </c>
      <c r="F101" s="5" t="s">
        <v>217</v>
      </c>
      <c r="G101" s="5">
        <v>1.339834792</v>
      </c>
      <c r="H101" s="5">
        <v>1.625360868</v>
      </c>
      <c r="I101" s="5">
        <v>2.1848572690000001</v>
      </c>
      <c r="J101" s="5">
        <v>1.71668431</v>
      </c>
      <c r="K101" s="5">
        <v>1538.5087040000001</v>
      </c>
      <c r="L101" s="5">
        <v>1351.2531630000001</v>
      </c>
      <c r="M101" s="5">
        <v>1522.8603000000001</v>
      </c>
      <c r="N101" s="5">
        <v>1470.8740560000001</v>
      </c>
    </row>
    <row r="102" spans="1:14" ht="15" x14ac:dyDescent="0.2">
      <c r="A102" s="19"/>
      <c r="B102" s="22"/>
      <c r="C102" s="5">
        <v>5516977</v>
      </c>
      <c r="D102" s="5">
        <v>5517897</v>
      </c>
      <c r="E102" s="5" t="s">
        <v>218</v>
      </c>
      <c r="F102" s="5" t="s">
        <v>219</v>
      </c>
      <c r="G102" s="5">
        <v>1.251094377</v>
      </c>
      <c r="H102" s="5">
        <v>1.313402355</v>
      </c>
      <c r="I102" s="5">
        <v>1.7717083629999999</v>
      </c>
      <c r="J102" s="5">
        <v>1.445401698</v>
      </c>
      <c r="K102" s="5">
        <v>351.14664929999998</v>
      </c>
      <c r="L102" s="5">
        <v>298.48002819999999</v>
      </c>
      <c r="M102" s="5">
        <v>276.30462390000002</v>
      </c>
      <c r="N102" s="5">
        <v>308.64376709999999</v>
      </c>
    </row>
    <row r="103" spans="1:14" ht="15" x14ac:dyDescent="0.2">
      <c r="A103" s="19"/>
      <c r="B103" s="22"/>
      <c r="C103" s="5">
        <v>5517894</v>
      </c>
      <c r="D103" s="5">
        <v>5519495</v>
      </c>
      <c r="E103" s="5" t="s">
        <v>220</v>
      </c>
      <c r="F103" s="5" t="s">
        <v>221</v>
      </c>
      <c r="G103" s="5">
        <v>11.013701259999999</v>
      </c>
      <c r="H103" s="5">
        <v>9.4133727579999995</v>
      </c>
      <c r="I103" s="5">
        <v>11.574618389999999</v>
      </c>
      <c r="J103" s="5">
        <v>10.6672308</v>
      </c>
      <c r="K103" s="5">
        <v>208.0921256</v>
      </c>
      <c r="L103" s="5">
        <v>177.70234769999999</v>
      </c>
      <c r="M103" s="5">
        <v>170.73596889999999</v>
      </c>
      <c r="N103" s="5">
        <v>185.51014739999999</v>
      </c>
    </row>
    <row r="104" spans="1:14" ht="15" x14ac:dyDescent="0.2">
      <c r="A104" s="19"/>
      <c r="B104" s="22"/>
      <c r="C104" s="5">
        <v>5519497</v>
      </c>
      <c r="D104" s="5">
        <v>5519892</v>
      </c>
      <c r="E104" s="5" t="s">
        <v>222</v>
      </c>
      <c r="F104" s="5" t="s">
        <v>223</v>
      </c>
      <c r="G104" s="5">
        <v>41.46382672</v>
      </c>
      <c r="H104" s="5">
        <v>40.728739689999998</v>
      </c>
      <c r="I104" s="5">
        <v>38.20886754</v>
      </c>
      <c r="J104" s="5">
        <v>40.13381132</v>
      </c>
      <c r="K104" s="5">
        <v>844.7009789</v>
      </c>
      <c r="L104" s="5">
        <v>715.28547700000001</v>
      </c>
      <c r="M104" s="5">
        <v>901.63179779999996</v>
      </c>
      <c r="N104" s="5">
        <v>820.53941789999999</v>
      </c>
    </row>
    <row r="105" spans="1:14" ht="15" x14ac:dyDescent="0.2">
      <c r="A105" s="19"/>
      <c r="B105" s="22"/>
      <c r="C105" s="5">
        <v>5519987</v>
      </c>
      <c r="D105" s="5">
        <v>5520832</v>
      </c>
      <c r="E105" s="5" t="s">
        <v>224</v>
      </c>
      <c r="F105" s="5" t="s">
        <v>225</v>
      </c>
      <c r="G105" s="5">
        <v>6.8951604340000001</v>
      </c>
      <c r="H105" s="5">
        <v>6.9585485050000004</v>
      </c>
      <c r="I105" s="5">
        <v>6.4000251639999997</v>
      </c>
      <c r="J105" s="5">
        <v>6.7512447010000001</v>
      </c>
      <c r="K105" s="5">
        <v>568.91714000000002</v>
      </c>
      <c r="L105" s="5">
        <v>516.06863650000003</v>
      </c>
      <c r="M105" s="5">
        <v>492.02239040000001</v>
      </c>
      <c r="N105" s="5">
        <v>525.66938900000002</v>
      </c>
    </row>
    <row r="106" spans="1:14" ht="15" x14ac:dyDescent="0.2">
      <c r="A106" s="19"/>
      <c r="B106" s="22"/>
      <c r="C106" s="5">
        <v>5520857</v>
      </c>
      <c r="D106" s="5">
        <v>5521741</v>
      </c>
      <c r="E106" s="5" t="s">
        <v>226</v>
      </c>
      <c r="F106" s="5" t="s">
        <v>227</v>
      </c>
      <c r="G106" s="5">
        <v>5.5334419949999996</v>
      </c>
      <c r="H106" s="5">
        <v>5.6495594179999999</v>
      </c>
      <c r="I106" s="5">
        <v>4.5256365540000001</v>
      </c>
      <c r="J106" s="5">
        <v>5.2362126560000002</v>
      </c>
      <c r="K106" s="5">
        <v>905.82099760000006</v>
      </c>
      <c r="L106" s="5">
        <v>775.70989120000002</v>
      </c>
      <c r="M106" s="5">
        <v>693.43126189999998</v>
      </c>
      <c r="N106" s="5">
        <v>791.65405020000003</v>
      </c>
    </row>
    <row r="107" spans="1:14" ht="15" x14ac:dyDescent="0.2">
      <c r="A107" s="19"/>
      <c r="B107" s="22"/>
      <c r="C107" s="5">
        <v>5521738</v>
      </c>
      <c r="D107" s="5">
        <v>5522883</v>
      </c>
      <c r="E107" s="5" t="s">
        <v>228</v>
      </c>
      <c r="F107" s="5" t="s">
        <v>229</v>
      </c>
      <c r="G107" s="5">
        <v>3.7076362</v>
      </c>
      <c r="H107" s="5">
        <v>2.603653988</v>
      </c>
      <c r="I107" s="5">
        <v>2.9124406270000001</v>
      </c>
      <c r="J107" s="5">
        <v>3.0745769379999999</v>
      </c>
      <c r="K107" s="5">
        <v>420.97897280000001</v>
      </c>
      <c r="L107" s="5">
        <v>365.20940530000001</v>
      </c>
      <c r="M107" s="5">
        <v>388.1454081</v>
      </c>
      <c r="N107" s="5">
        <v>391.44459540000003</v>
      </c>
    </row>
    <row r="108" spans="1:14" ht="15" x14ac:dyDescent="0.2">
      <c r="A108" s="19"/>
      <c r="B108" s="22"/>
      <c r="C108" s="5">
        <v>5522876</v>
      </c>
      <c r="D108" s="5">
        <v>5523217</v>
      </c>
      <c r="E108" s="5" t="s">
        <v>230</v>
      </c>
      <c r="F108" s="5" t="s">
        <v>231</v>
      </c>
      <c r="G108" s="5">
        <v>5.896056615</v>
      </c>
      <c r="H108" s="5">
        <v>2.8295756000000001</v>
      </c>
      <c r="I108" s="5">
        <v>3.2530769579999999</v>
      </c>
      <c r="J108" s="5">
        <v>3.992903058</v>
      </c>
      <c r="K108" s="5">
        <v>525.74381019999998</v>
      </c>
      <c r="L108" s="5">
        <v>487.68192520000002</v>
      </c>
      <c r="M108" s="5">
        <v>531.23512800000003</v>
      </c>
      <c r="N108" s="5">
        <v>514.8869545</v>
      </c>
    </row>
    <row r="109" spans="1:14" ht="15" x14ac:dyDescent="0.2">
      <c r="A109" s="19"/>
      <c r="B109" s="22"/>
      <c r="C109" s="5">
        <v>5523183</v>
      </c>
      <c r="D109" s="5">
        <v>5523962</v>
      </c>
      <c r="E109" s="5" t="s">
        <v>232</v>
      </c>
      <c r="F109" s="5" t="s">
        <v>233</v>
      </c>
      <c r="G109" s="5">
        <v>135.99967290000001</v>
      </c>
      <c r="H109" s="5">
        <v>128.92525900000001</v>
      </c>
      <c r="I109" s="5">
        <v>116.10481900000001</v>
      </c>
      <c r="J109" s="5">
        <v>127.009917</v>
      </c>
      <c r="K109" s="5">
        <v>232.34216169999999</v>
      </c>
      <c r="L109" s="5">
        <v>224.8869254</v>
      </c>
      <c r="M109" s="5">
        <v>204.184924</v>
      </c>
      <c r="N109" s="5">
        <v>220.47133700000001</v>
      </c>
    </row>
    <row r="110" spans="1:14" ht="15" x14ac:dyDescent="0.2">
      <c r="A110" s="19"/>
      <c r="B110" s="22"/>
      <c r="C110" s="5">
        <v>5524073</v>
      </c>
      <c r="D110" s="5">
        <v>5525809</v>
      </c>
      <c r="E110" s="5" t="s">
        <v>234</v>
      </c>
      <c r="F110" s="5" t="s">
        <v>235</v>
      </c>
      <c r="G110" s="5">
        <v>4.8922867989999999</v>
      </c>
      <c r="H110" s="5">
        <v>3.992682668</v>
      </c>
      <c r="I110" s="5">
        <v>5.0386172990000002</v>
      </c>
      <c r="J110" s="5">
        <v>4.6411955889999996</v>
      </c>
      <c r="K110" s="5">
        <v>319.34660730000002</v>
      </c>
      <c r="L110" s="5">
        <v>315.34997620000001</v>
      </c>
      <c r="M110" s="5">
        <v>190.35487209999999</v>
      </c>
      <c r="N110" s="5">
        <v>275.01715189999999</v>
      </c>
    </row>
    <row r="111" spans="1:14" ht="15" x14ac:dyDescent="0.2">
      <c r="A111" s="19"/>
      <c r="B111" s="22"/>
      <c r="C111" s="5">
        <v>5525809</v>
      </c>
      <c r="D111" s="5">
        <v>5527944</v>
      </c>
      <c r="E111" s="5" t="s">
        <v>236</v>
      </c>
      <c r="F111" s="5" t="s">
        <v>237</v>
      </c>
      <c r="G111" s="5">
        <v>4.4504343869999996</v>
      </c>
      <c r="H111" s="5">
        <v>4.2284669069999996</v>
      </c>
      <c r="I111" s="5">
        <v>5.5558168270000001</v>
      </c>
      <c r="J111" s="5">
        <v>4.74490604</v>
      </c>
      <c r="K111" s="5">
        <v>411.23390519999998</v>
      </c>
      <c r="L111" s="5">
        <v>337.70652510000002</v>
      </c>
      <c r="M111" s="5">
        <v>222.06482030000001</v>
      </c>
      <c r="N111" s="5">
        <v>323.66841690000001</v>
      </c>
    </row>
    <row r="112" spans="1:14" ht="15" x14ac:dyDescent="0.2">
      <c r="A112" s="19"/>
      <c r="B112" s="22"/>
      <c r="C112" s="5">
        <v>5528094</v>
      </c>
      <c r="D112" s="5">
        <v>5528861</v>
      </c>
      <c r="E112" s="5" t="s">
        <v>238</v>
      </c>
      <c r="F112" s="5" t="s">
        <v>239</v>
      </c>
      <c r="G112" s="5">
        <v>13.596793509999999</v>
      </c>
      <c r="H112" s="5">
        <v>11.340408460000001</v>
      </c>
      <c r="I112" s="5">
        <v>15.45211555</v>
      </c>
      <c r="J112" s="5">
        <v>13.463105840000001</v>
      </c>
      <c r="K112" s="5">
        <v>1374.715819</v>
      </c>
      <c r="L112" s="5">
        <v>1410.903176</v>
      </c>
      <c r="M112" s="5">
        <v>1730.6822360000001</v>
      </c>
      <c r="N112" s="5">
        <v>1505.4337439999999</v>
      </c>
    </row>
    <row r="113" spans="1:14" ht="15" x14ac:dyDescent="0.2">
      <c r="A113" s="19"/>
      <c r="B113" s="22"/>
      <c r="C113" s="5">
        <v>5528935</v>
      </c>
      <c r="D113" s="5">
        <v>5529720</v>
      </c>
      <c r="E113" s="5" t="s">
        <v>240</v>
      </c>
      <c r="F113" s="5" t="s">
        <v>241</v>
      </c>
      <c r="G113" s="5">
        <v>1.465976999</v>
      </c>
      <c r="H113" s="5">
        <v>1.231189383</v>
      </c>
      <c r="I113" s="5">
        <v>1.038004709</v>
      </c>
      <c r="J113" s="5">
        <v>1.2450570299999999</v>
      </c>
      <c r="K113" s="5">
        <v>1347.5772979999999</v>
      </c>
      <c r="L113" s="5">
        <v>1229.6394620000001</v>
      </c>
      <c r="M113" s="5">
        <v>1717.8081729999999</v>
      </c>
      <c r="N113" s="5">
        <v>1431.674978</v>
      </c>
    </row>
    <row r="114" spans="1:14" ht="15" x14ac:dyDescent="0.2">
      <c r="A114" s="19"/>
      <c r="B114" s="22"/>
      <c r="C114" s="5">
        <v>5529801</v>
      </c>
      <c r="D114" s="5">
        <v>5531204</v>
      </c>
      <c r="E114" s="5" t="s">
        <v>242</v>
      </c>
      <c r="F114" s="5" t="s">
        <v>243</v>
      </c>
      <c r="G114" s="5">
        <v>0.92328359100000001</v>
      </c>
      <c r="H114" s="5">
        <v>0.91900746</v>
      </c>
      <c r="I114" s="5">
        <v>1.1622104</v>
      </c>
      <c r="J114" s="5">
        <v>1.0015004839999999</v>
      </c>
      <c r="K114" s="5">
        <v>629.23469169999998</v>
      </c>
      <c r="L114" s="5">
        <v>539.79827230000001</v>
      </c>
      <c r="M114" s="5">
        <v>601.70436549999999</v>
      </c>
      <c r="N114" s="5">
        <v>590.24577650000003</v>
      </c>
    </row>
    <row r="115" spans="1:14" ht="15" x14ac:dyDescent="0.2">
      <c r="A115" s="19"/>
      <c r="B115" s="22"/>
      <c r="C115" s="5">
        <v>5531201</v>
      </c>
      <c r="D115" s="5">
        <v>5532424</v>
      </c>
      <c r="E115" s="5" t="s">
        <v>244</v>
      </c>
      <c r="F115" s="5" t="s">
        <v>245</v>
      </c>
      <c r="G115" s="5">
        <v>0.41185689599999997</v>
      </c>
      <c r="H115" s="5">
        <v>0.19765417800000001</v>
      </c>
      <c r="I115" s="5">
        <v>0.90894797400000005</v>
      </c>
      <c r="J115" s="5">
        <v>0.50615301599999996</v>
      </c>
      <c r="K115" s="5">
        <v>312.0441697</v>
      </c>
      <c r="L115" s="5">
        <v>242.51231200000001</v>
      </c>
      <c r="M115" s="5">
        <v>221.34176679999999</v>
      </c>
      <c r="N115" s="5">
        <v>258.63274949999999</v>
      </c>
    </row>
    <row r="116" spans="1:14" ht="15" x14ac:dyDescent="0.2">
      <c r="A116" s="19"/>
      <c r="B116" s="22"/>
      <c r="C116" s="5">
        <v>5532449</v>
      </c>
      <c r="D116" s="5">
        <v>5532709</v>
      </c>
      <c r="E116" s="5" t="s">
        <v>246</v>
      </c>
      <c r="F116" s="5" t="s">
        <v>247</v>
      </c>
      <c r="G116" s="5">
        <v>0.55184766399999996</v>
      </c>
      <c r="H116" s="5" t="s">
        <v>12</v>
      </c>
      <c r="I116" s="5">
        <v>0.85253051300000005</v>
      </c>
      <c r="J116" s="5">
        <v>0.70218908899999999</v>
      </c>
      <c r="K116" s="5">
        <v>242.26153149999999</v>
      </c>
      <c r="L116" s="5">
        <v>196.18474839999999</v>
      </c>
      <c r="M116" s="5">
        <v>232.14427900000001</v>
      </c>
      <c r="N116" s="5">
        <v>223.5301863</v>
      </c>
    </row>
    <row r="117" spans="1:14" ht="15" x14ac:dyDescent="0.2">
      <c r="A117" s="19"/>
      <c r="B117" s="22"/>
      <c r="C117" s="5">
        <v>5532706</v>
      </c>
      <c r="D117" s="5">
        <v>5533656</v>
      </c>
      <c r="E117" s="5" t="s">
        <v>248</v>
      </c>
      <c r="F117" s="5" t="s">
        <v>249</v>
      </c>
      <c r="G117" s="5">
        <v>1.6659880570000001</v>
      </c>
      <c r="H117" s="5">
        <v>1.4415661179999999</v>
      </c>
      <c r="I117" s="5">
        <v>1.0138927550000001</v>
      </c>
      <c r="J117" s="5">
        <v>1.3738156429999999</v>
      </c>
      <c r="K117" s="5">
        <v>399.52740219999998</v>
      </c>
      <c r="L117" s="5">
        <v>323.69769400000001</v>
      </c>
      <c r="M117" s="5">
        <v>287.61201069999998</v>
      </c>
      <c r="N117" s="5">
        <v>336.94570229999999</v>
      </c>
    </row>
    <row r="118" spans="1:14" ht="15" x14ac:dyDescent="0.2">
      <c r="A118" s="19"/>
      <c r="B118" s="22"/>
      <c r="C118" s="5">
        <v>5533653</v>
      </c>
      <c r="D118" s="5">
        <v>5534546</v>
      </c>
      <c r="E118" s="5" t="s">
        <v>250</v>
      </c>
      <c r="F118" s="5" t="s">
        <v>251</v>
      </c>
      <c r="G118" s="5">
        <v>1.691653828</v>
      </c>
      <c r="H118" s="5">
        <v>1.172659686</v>
      </c>
      <c r="I118" s="5">
        <v>0.33185751499999999</v>
      </c>
      <c r="J118" s="5">
        <v>1.065390343</v>
      </c>
      <c r="K118" s="5">
        <v>318.79024850000002</v>
      </c>
      <c r="L118" s="5">
        <v>275.36256309999999</v>
      </c>
      <c r="M118" s="5">
        <v>243.11381950000001</v>
      </c>
      <c r="N118" s="5">
        <v>279.08887700000002</v>
      </c>
    </row>
    <row r="119" spans="1:14" ht="15" x14ac:dyDescent="0.2">
      <c r="A119" s="19"/>
      <c r="B119" s="22"/>
      <c r="C119" s="5">
        <v>5534558</v>
      </c>
      <c r="D119" s="5">
        <v>5535091</v>
      </c>
      <c r="E119" s="5" t="s">
        <v>252</v>
      </c>
      <c r="F119" s="5" t="s">
        <v>253</v>
      </c>
      <c r="G119" s="5">
        <v>1.0788931850000001</v>
      </c>
      <c r="H119" s="5">
        <v>0.60406670100000004</v>
      </c>
      <c r="I119" s="5">
        <v>0.83337252399999995</v>
      </c>
      <c r="J119" s="5">
        <v>0.83877747000000002</v>
      </c>
      <c r="K119" s="5">
        <v>246.67374649999999</v>
      </c>
      <c r="L119" s="5">
        <v>205.7650754</v>
      </c>
      <c r="M119" s="5">
        <v>223.52364030000001</v>
      </c>
      <c r="N119" s="5">
        <v>225.32082070000001</v>
      </c>
    </row>
    <row r="120" spans="1:14" s="4" customFormat="1" ht="15" x14ac:dyDescent="0.2">
      <c r="A120" s="18" t="s">
        <v>254</v>
      </c>
      <c r="B120" s="21">
        <v>2.4670000000000001</v>
      </c>
      <c r="C120" s="3">
        <v>5681016</v>
      </c>
      <c r="D120" s="3">
        <v>5682101</v>
      </c>
      <c r="E120" s="3" t="s">
        <v>255</v>
      </c>
      <c r="F120" s="3" t="s">
        <v>256</v>
      </c>
      <c r="G120" s="3">
        <v>18.103499800000002</v>
      </c>
      <c r="H120" s="3">
        <v>23.242384099999999</v>
      </c>
      <c r="I120" s="3">
        <v>21.786629219999998</v>
      </c>
      <c r="J120" s="3">
        <v>21.044171039999998</v>
      </c>
      <c r="K120" s="3">
        <v>59.074481290000001</v>
      </c>
      <c r="L120" s="3">
        <v>57.279609929999999</v>
      </c>
      <c r="M120" s="3">
        <v>53.7990244</v>
      </c>
      <c r="N120" s="3">
        <v>56.717705209999998</v>
      </c>
    </row>
    <row r="121" spans="1:14" s="4" customFormat="1" ht="15" x14ac:dyDescent="0.2">
      <c r="A121" s="18"/>
      <c r="B121" s="21"/>
      <c r="C121" s="3">
        <v>5682098</v>
      </c>
      <c r="D121" s="3">
        <v>5683483</v>
      </c>
      <c r="E121" s="3" t="s">
        <v>257</v>
      </c>
      <c r="F121" s="3" t="s">
        <v>258</v>
      </c>
      <c r="G121" s="3">
        <v>10.39193652</v>
      </c>
      <c r="H121" s="3">
        <v>10.0658171</v>
      </c>
      <c r="I121" s="3">
        <v>12.84331682</v>
      </c>
      <c r="J121" s="3">
        <v>11.100356809999999</v>
      </c>
      <c r="K121" s="3">
        <v>49.264174220000001</v>
      </c>
      <c r="L121" s="3">
        <v>48.360226439999998</v>
      </c>
      <c r="M121" s="3">
        <v>48.024578529999999</v>
      </c>
      <c r="N121" s="3">
        <v>48.549659730000002</v>
      </c>
    </row>
    <row r="122" spans="1:14" ht="15" x14ac:dyDescent="0.2">
      <c r="A122" s="19" t="s">
        <v>259</v>
      </c>
      <c r="B122" s="22">
        <v>5.5439999999999996</v>
      </c>
      <c r="C122" s="5">
        <v>5785753</v>
      </c>
      <c r="D122" s="5">
        <v>5786088</v>
      </c>
      <c r="E122" s="5" t="s">
        <v>260</v>
      </c>
      <c r="F122" s="5" t="s">
        <v>261</v>
      </c>
      <c r="G122" s="5">
        <v>2.3576705979999999</v>
      </c>
      <c r="H122" s="5">
        <v>0.24000864499999999</v>
      </c>
      <c r="I122" s="5">
        <v>1.5452115550000001</v>
      </c>
      <c r="J122" s="5">
        <v>1.380963599</v>
      </c>
      <c r="K122" s="5">
        <v>2.5401839829999999</v>
      </c>
      <c r="L122" s="5">
        <v>1.2126804499999999</v>
      </c>
      <c r="M122" s="5">
        <v>2.0608726810000002</v>
      </c>
      <c r="N122" s="5">
        <v>1.9379123709999999</v>
      </c>
    </row>
    <row r="123" spans="1:14" ht="15" x14ac:dyDescent="0.2">
      <c r="A123" s="17"/>
      <c r="B123" s="22"/>
      <c r="C123" s="5">
        <v>5786122</v>
      </c>
      <c r="D123" s="5">
        <v>5786601</v>
      </c>
      <c r="E123" s="5" t="s">
        <v>262</v>
      </c>
      <c r="F123" s="5" t="s">
        <v>263</v>
      </c>
      <c r="G123" s="5">
        <v>5.1011418400000004</v>
      </c>
      <c r="H123" s="5">
        <v>4.8721754859999997</v>
      </c>
      <c r="I123" s="5">
        <v>5.8718039089999996</v>
      </c>
      <c r="J123" s="5">
        <v>5.2817070780000002</v>
      </c>
      <c r="K123" s="5">
        <v>3.2599027789999999</v>
      </c>
      <c r="L123" s="5">
        <v>2.5466289459999998</v>
      </c>
      <c r="M123" s="5">
        <v>5.4097907870000004</v>
      </c>
      <c r="N123" s="5">
        <v>3.7387741710000002</v>
      </c>
    </row>
    <row r="124" spans="1:14" ht="15" x14ac:dyDescent="0.2">
      <c r="A124" s="17"/>
      <c r="B124" s="22"/>
      <c r="C124" s="5">
        <v>5786603</v>
      </c>
      <c r="D124" s="5">
        <v>5786875</v>
      </c>
      <c r="E124" s="5" t="s">
        <v>264</v>
      </c>
      <c r="F124" s="5" t="s">
        <v>265</v>
      </c>
      <c r="G124" s="5">
        <v>3.1655437399999999</v>
      </c>
      <c r="H124" s="5">
        <v>1.4769762749999999</v>
      </c>
      <c r="I124" s="5">
        <v>4.6186543179999999</v>
      </c>
      <c r="J124" s="5">
        <v>3.0870581110000002</v>
      </c>
      <c r="K124" s="5">
        <v>1.0421267620000001</v>
      </c>
      <c r="L124" s="5">
        <v>3.731324463</v>
      </c>
      <c r="M124" s="5">
        <v>3.1705733550000001</v>
      </c>
      <c r="N124" s="5">
        <v>2.6480081929999999</v>
      </c>
    </row>
    <row r="125" spans="1:14" ht="15" x14ac:dyDescent="0.2">
      <c r="A125" s="17"/>
      <c r="B125" s="22"/>
      <c r="C125" s="5">
        <v>5786945</v>
      </c>
      <c r="D125" s="5">
        <v>5788219</v>
      </c>
      <c r="E125" s="5" t="s">
        <v>266</v>
      </c>
      <c r="F125" s="5" t="s">
        <v>267</v>
      </c>
      <c r="G125" s="5">
        <v>0.338899389</v>
      </c>
      <c r="H125" s="5">
        <v>1.011989391</v>
      </c>
      <c r="I125" s="5">
        <v>0.116345341</v>
      </c>
      <c r="J125" s="5">
        <v>0.48907803999999999</v>
      </c>
      <c r="K125" s="5">
        <v>0.39049102800000002</v>
      </c>
      <c r="L125" s="5">
        <v>0.37283979299999997</v>
      </c>
      <c r="M125" s="5">
        <v>0.40732542399999999</v>
      </c>
      <c r="N125" s="5">
        <v>0.390218748</v>
      </c>
    </row>
    <row r="126" spans="1:14" ht="15" x14ac:dyDescent="0.2">
      <c r="A126" s="17"/>
      <c r="B126" s="22"/>
      <c r="C126" s="5">
        <v>5788216</v>
      </c>
      <c r="D126" s="5">
        <v>5789487</v>
      </c>
      <c r="E126" s="5" t="s">
        <v>268</v>
      </c>
      <c r="F126" s="5" t="s">
        <v>269</v>
      </c>
      <c r="G126" s="5">
        <v>0.73601380599999999</v>
      </c>
      <c r="H126" s="5">
        <v>1.267970198</v>
      </c>
      <c r="I126" s="5">
        <v>0.75802831000000004</v>
      </c>
      <c r="J126" s="5">
        <v>0.92067077100000005</v>
      </c>
      <c r="K126" s="5">
        <v>1.3978999910000001</v>
      </c>
      <c r="L126" s="5">
        <v>1.121157398</v>
      </c>
      <c r="M126" s="5">
        <v>1.4290013399999999</v>
      </c>
      <c r="N126" s="5">
        <v>1.316019576</v>
      </c>
    </row>
    <row r="127" spans="1:14" ht="15" x14ac:dyDescent="0.2">
      <c r="A127" s="17"/>
      <c r="B127" s="22"/>
      <c r="C127" s="5">
        <v>5789484</v>
      </c>
      <c r="D127" s="5">
        <v>5789957</v>
      </c>
      <c r="E127" s="5" t="s">
        <v>270</v>
      </c>
      <c r="F127" s="5" t="s">
        <v>271</v>
      </c>
      <c r="G127" s="5">
        <v>0.60773097099999995</v>
      </c>
      <c r="H127" s="5" t="s">
        <v>12</v>
      </c>
      <c r="I127" s="5">
        <v>1.2518169560000001</v>
      </c>
      <c r="J127" s="5">
        <v>0.92977396400000001</v>
      </c>
      <c r="K127" s="5">
        <v>0.90031837400000003</v>
      </c>
      <c r="L127" s="5">
        <v>1.7192431699999999</v>
      </c>
      <c r="M127" s="5">
        <v>0.36521794299999999</v>
      </c>
      <c r="N127" s="5">
        <v>0.99492649600000005</v>
      </c>
    </row>
    <row r="128" spans="1:14" ht="15" x14ac:dyDescent="0.2">
      <c r="A128" s="17"/>
      <c r="B128" s="22"/>
      <c r="C128" s="5">
        <v>5790104</v>
      </c>
      <c r="D128" s="5">
        <v>5791297</v>
      </c>
      <c r="E128" s="5" t="s">
        <v>272</v>
      </c>
      <c r="F128" s="5" t="s">
        <v>273</v>
      </c>
      <c r="G128" s="5">
        <v>0.84441011799999999</v>
      </c>
      <c r="H128" s="5">
        <v>1.3508024219999999</v>
      </c>
      <c r="I128" s="5">
        <v>0.80754774699999998</v>
      </c>
      <c r="J128" s="5">
        <v>1.000920096</v>
      </c>
      <c r="K128" s="5">
        <v>1.5487888940000001</v>
      </c>
      <c r="L128" s="5">
        <v>1.5356556459999999</v>
      </c>
      <c r="M128" s="5">
        <v>2.247283275</v>
      </c>
      <c r="N128" s="5">
        <v>1.7772426050000001</v>
      </c>
    </row>
    <row r="129" spans="1:14" s="4" customFormat="1" ht="15" x14ac:dyDescent="0.2">
      <c r="A129" s="16" t="s">
        <v>274</v>
      </c>
      <c r="B129" s="21">
        <v>4.3090000000000002</v>
      </c>
      <c r="C129" s="3">
        <v>6338949</v>
      </c>
      <c r="D129" s="3">
        <v>6340547</v>
      </c>
      <c r="E129" s="3" t="s">
        <v>275</v>
      </c>
      <c r="F129" s="3" t="s">
        <v>276</v>
      </c>
      <c r="G129" s="3">
        <v>0.81068803099999998</v>
      </c>
      <c r="H129" s="3">
        <v>1.2104000690000001</v>
      </c>
      <c r="I129" s="3">
        <v>0.69578006199999998</v>
      </c>
      <c r="J129" s="3">
        <v>0.90562272099999996</v>
      </c>
      <c r="K129" s="3">
        <v>10.275115700000001</v>
      </c>
      <c r="L129" s="3">
        <v>12.486285759999999</v>
      </c>
      <c r="M129" s="3">
        <v>9.2565275749999998</v>
      </c>
      <c r="N129" s="3">
        <v>10.67264301</v>
      </c>
    </row>
    <row r="130" spans="1:14" s="4" customFormat="1" ht="15" x14ac:dyDescent="0.2">
      <c r="A130" s="16"/>
      <c r="B130" s="21"/>
      <c r="C130" s="3">
        <v>6340587</v>
      </c>
      <c r="D130" s="3">
        <v>6342533</v>
      </c>
      <c r="E130" s="3" t="s">
        <v>277</v>
      </c>
      <c r="F130" s="3" t="s">
        <v>278</v>
      </c>
      <c r="G130" s="3" t="s">
        <v>12</v>
      </c>
      <c r="H130" s="3" t="s">
        <v>12</v>
      </c>
      <c r="I130" s="3">
        <v>7.6189168000000002E-2</v>
      </c>
      <c r="J130" s="3">
        <v>7.6189168000000002E-2</v>
      </c>
      <c r="K130" s="3">
        <v>2.301430173</v>
      </c>
      <c r="L130" s="3">
        <v>3.4879355529999998</v>
      </c>
      <c r="M130" s="3">
        <v>2.889667395</v>
      </c>
      <c r="N130" s="3">
        <v>2.8930110400000002</v>
      </c>
    </row>
    <row r="131" spans="1:14" s="4" customFormat="1" ht="15" x14ac:dyDescent="0.2">
      <c r="A131" s="18"/>
      <c r="B131" s="21"/>
      <c r="C131" s="3">
        <v>6342563</v>
      </c>
      <c r="D131" s="3">
        <v>6343258</v>
      </c>
      <c r="E131" s="3" t="s">
        <v>279</v>
      </c>
      <c r="F131" s="3" t="s">
        <v>280</v>
      </c>
      <c r="G131" s="3">
        <v>0.206942874</v>
      </c>
      <c r="H131" s="3">
        <v>0.23173248399999999</v>
      </c>
      <c r="I131" s="3">
        <v>0.21313262799999999</v>
      </c>
      <c r="J131" s="3">
        <v>0.21726932900000001</v>
      </c>
      <c r="K131" s="3">
        <v>5.8249046509999998</v>
      </c>
      <c r="L131" s="3">
        <v>7.025183299</v>
      </c>
      <c r="M131" s="3">
        <v>9.4515885009999998</v>
      </c>
      <c r="N131" s="3">
        <v>7.4338921500000001</v>
      </c>
    </row>
    <row r="132" spans="1:14" ht="15" x14ac:dyDescent="0.2">
      <c r="A132" s="19" t="s">
        <v>281</v>
      </c>
      <c r="B132" s="22">
        <v>31.64</v>
      </c>
      <c r="C132" s="5">
        <v>6432566</v>
      </c>
      <c r="D132" s="5">
        <v>6433618</v>
      </c>
      <c r="E132" s="5" t="s">
        <v>282</v>
      </c>
      <c r="F132" s="5" t="s">
        <v>283</v>
      </c>
      <c r="G132" s="5">
        <v>8.3437480060000002</v>
      </c>
      <c r="H132" s="5">
        <v>10.951505559999999</v>
      </c>
      <c r="I132" s="5">
        <v>13.242154859999999</v>
      </c>
      <c r="J132" s="5">
        <v>10.84580281</v>
      </c>
      <c r="K132" s="5">
        <v>577.51191410000001</v>
      </c>
      <c r="L132" s="5">
        <v>665.55772639999998</v>
      </c>
      <c r="M132" s="5">
        <v>527.23112030000004</v>
      </c>
      <c r="N132" s="5">
        <v>590.10025359999997</v>
      </c>
    </row>
    <row r="133" spans="1:14" ht="15" x14ac:dyDescent="0.2">
      <c r="A133" s="19"/>
      <c r="B133" s="22"/>
      <c r="C133" s="5">
        <v>6433668</v>
      </c>
      <c r="D133" s="5">
        <v>6436616</v>
      </c>
      <c r="E133" s="5" t="s">
        <v>284</v>
      </c>
      <c r="F133" s="5" t="s">
        <v>285</v>
      </c>
      <c r="G133" s="5">
        <v>3.1746678909999999</v>
      </c>
      <c r="H133" s="5">
        <v>4.8949067209999999</v>
      </c>
      <c r="I133" s="5">
        <v>4.7283787970000004</v>
      </c>
      <c r="J133" s="5">
        <v>4.2659844700000003</v>
      </c>
      <c r="K133" s="5">
        <v>197.55378640000001</v>
      </c>
      <c r="L133" s="5">
        <v>197.74298870000001</v>
      </c>
      <c r="M133" s="5">
        <v>117.72761389999999</v>
      </c>
      <c r="N133" s="5">
        <v>171.00812970000001</v>
      </c>
    </row>
    <row r="134" spans="1:14" ht="15" x14ac:dyDescent="0.2">
      <c r="A134" s="19"/>
      <c r="B134" s="22"/>
      <c r="C134" s="5">
        <v>6436613</v>
      </c>
      <c r="D134" s="5">
        <v>6437788</v>
      </c>
      <c r="E134" s="5" t="s">
        <v>286</v>
      </c>
      <c r="F134" s="5" t="s">
        <v>287</v>
      </c>
      <c r="G134" s="5">
        <v>5.6951523540000002</v>
      </c>
      <c r="H134" s="5">
        <v>9.6003457839999999</v>
      </c>
      <c r="I134" s="5">
        <v>9.2712693300000009</v>
      </c>
      <c r="J134" s="5">
        <v>8.1889224889999994</v>
      </c>
      <c r="K134" s="5">
        <v>320.00270130000001</v>
      </c>
      <c r="L134" s="5">
        <v>334.0645907</v>
      </c>
      <c r="M134" s="5">
        <v>274.39047690000001</v>
      </c>
      <c r="N134" s="5">
        <v>309.48592300000001</v>
      </c>
    </row>
    <row r="135" spans="1:14" ht="15" x14ac:dyDescent="0.2">
      <c r="A135" s="19"/>
      <c r="B135" s="22"/>
      <c r="C135" s="5">
        <v>6437814</v>
      </c>
      <c r="D135" s="5">
        <v>6438134</v>
      </c>
      <c r="E135" s="5" t="s">
        <v>288</v>
      </c>
      <c r="F135" s="5" t="s">
        <v>289</v>
      </c>
      <c r="G135" s="5">
        <v>14.58270344</v>
      </c>
      <c r="H135" s="5">
        <v>18.84180014</v>
      </c>
      <c r="I135" s="5">
        <v>22.181728490000001</v>
      </c>
      <c r="J135" s="5">
        <v>18.535410689999999</v>
      </c>
      <c r="K135" s="5">
        <v>686.87841040000001</v>
      </c>
      <c r="L135" s="5">
        <v>774.09057629999995</v>
      </c>
      <c r="M135" s="5">
        <v>735.59672350000005</v>
      </c>
      <c r="N135" s="5">
        <v>732.18857009999999</v>
      </c>
    </row>
    <row r="136" spans="1:14" ht="15" x14ac:dyDescent="0.2">
      <c r="A136" s="19"/>
      <c r="B136" s="22"/>
      <c r="C136" s="5">
        <v>6438206</v>
      </c>
      <c r="D136" s="5">
        <v>6438859</v>
      </c>
      <c r="E136" s="5" t="s">
        <v>290</v>
      </c>
      <c r="F136" s="5" t="s">
        <v>291</v>
      </c>
      <c r="G136" s="5">
        <v>169.90959219999999</v>
      </c>
      <c r="H136" s="5">
        <v>162.39557389999999</v>
      </c>
      <c r="I136" s="5">
        <v>137.67976719999999</v>
      </c>
      <c r="J136" s="5">
        <v>156.6616444</v>
      </c>
      <c r="K136" s="5">
        <v>487.32691749999998</v>
      </c>
      <c r="L136" s="5">
        <v>516.69829289999996</v>
      </c>
      <c r="M136" s="5">
        <v>405.38689119999998</v>
      </c>
      <c r="N136" s="5">
        <v>469.80403389999998</v>
      </c>
    </row>
    <row r="137" spans="1:14" ht="15" x14ac:dyDescent="0.2">
      <c r="A137" s="19"/>
      <c r="B137" s="22"/>
      <c r="C137" s="5">
        <v>6439123</v>
      </c>
      <c r="D137" s="5">
        <v>6440310</v>
      </c>
      <c r="E137" s="5" t="s">
        <v>292</v>
      </c>
      <c r="F137" s="5" t="s">
        <v>293</v>
      </c>
      <c r="G137" s="5">
        <v>0.121239259</v>
      </c>
      <c r="H137" s="5">
        <v>0.135762466</v>
      </c>
      <c r="I137" s="5">
        <v>0.312163951</v>
      </c>
      <c r="J137" s="5">
        <v>0.189721892</v>
      </c>
      <c r="K137" s="5">
        <v>50.82933809</v>
      </c>
      <c r="L137" s="5">
        <v>61.221988799999998</v>
      </c>
      <c r="M137" s="5">
        <v>30.2365411</v>
      </c>
      <c r="N137" s="5">
        <v>47.429289330000003</v>
      </c>
    </row>
    <row r="138" spans="1:14" ht="15" x14ac:dyDescent="0.2">
      <c r="A138" s="19"/>
      <c r="B138" s="22"/>
      <c r="C138" s="5">
        <v>6440423</v>
      </c>
      <c r="D138" s="5">
        <v>6441208</v>
      </c>
      <c r="E138" s="5" t="s">
        <v>294</v>
      </c>
      <c r="F138" s="5" t="s">
        <v>295</v>
      </c>
      <c r="G138" s="5">
        <v>9.1623562000000006E-2</v>
      </c>
      <c r="H138" s="5">
        <v>1.3337884980000001</v>
      </c>
      <c r="I138" s="5">
        <v>1.3210969020000001</v>
      </c>
      <c r="J138" s="5">
        <v>0.91550298699999999</v>
      </c>
      <c r="K138" s="5">
        <v>82.255423339999993</v>
      </c>
      <c r="L138" s="5">
        <v>98.58197208</v>
      </c>
      <c r="M138" s="5">
        <v>52.41853261</v>
      </c>
      <c r="N138" s="5">
        <v>77.751976010000007</v>
      </c>
    </row>
    <row r="139" spans="1:14" ht="15" x14ac:dyDescent="0.2">
      <c r="A139" s="19"/>
      <c r="B139" s="22"/>
      <c r="C139" s="5">
        <v>6441276</v>
      </c>
      <c r="D139" s="5">
        <v>6442166</v>
      </c>
      <c r="E139" s="5" t="s">
        <v>296</v>
      </c>
      <c r="F139" s="5" t="s">
        <v>297</v>
      </c>
      <c r="G139" s="5">
        <v>2.020654323</v>
      </c>
      <c r="H139" s="5">
        <v>1.2671163459999999</v>
      </c>
      <c r="I139" s="5">
        <v>1.581630683</v>
      </c>
      <c r="J139" s="5">
        <v>1.623133784</v>
      </c>
      <c r="K139" s="5">
        <v>264.22474920000002</v>
      </c>
      <c r="L139" s="5">
        <v>320.64849909999998</v>
      </c>
      <c r="M139" s="5">
        <v>171.36468590000001</v>
      </c>
      <c r="N139" s="5">
        <v>252.07931139999999</v>
      </c>
    </row>
    <row r="140" spans="1:14" ht="15" x14ac:dyDescent="0.2">
      <c r="A140" s="19"/>
      <c r="B140" s="22"/>
      <c r="C140" s="5">
        <v>6442174</v>
      </c>
      <c r="D140" s="5">
        <v>6442614</v>
      </c>
      <c r="E140" s="5" t="s">
        <v>298</v>
      </c>
      <c r="F140" s="5" t="s">
        <v>299</v>
      </c>
      <c r="G140" s="5">
        <v>1.7963204559999999</v>
      </c>
      <c r="H140" s="5">
        <v>1.097182375</v>
      </c>
      <c r="I140" s="5">
        <v>1.345490334</v>
      </c>
      <c r="J140" s="5">
        <v>1.4129977220000001</v>
      </c>
      <c r="K140" s="5">
        <v>312.5635911</v>
      </c>
      <c r="L140" s="5">
        <v>366.19099820000002</v>
      </c>
      <c r="M140" s="5">
        <v>179.9828808</v>
      </c>
      <c r="N140" s="5">
        <v>286.24582340000001</v>
      </c>
    </row>
    <row r="141" spans="1:14" ht="15" x14ac:dyDescent="0.2">
      <c r="A141" s="19"/>
      <c r="B141" s="22"/>
      <c r="C141" s="5">
        <v>6442753</v>
      </c>
      <c r="D141" s="5">
        <v>6443976</v>
      </c>
      <c r="E141" s="5" t="s">
        <v>300</v>
      </c>
      <c r="F141" s="5" t="s">
        <v>301</v>
      </c>
      <c r="G141" s="5">
        <v>2.6476514739999999</v>
      </c>
      <c r="H141" s="5">
        <v>2.767158491</v>
      </c>
      <c r="I141" s="5">
        <v>3.5751953630000002</v>
      </c>
      <c r="J141" s="5">
        <v>2.9966684429999999</v>
      </c>
      <c r="K141" s="5">
        <v>452.0282302</v>
      </c>
      <c r="L141" s="5">
        <v>560.64674290000005</v>
      </c>
      <c r="M141" s="5">
        <v>298.56387840000002</v>
      </c>
      <c r="N141" s="5">
        <v>437.07961719999997</v>
      </c>
    </row>
    <row r="142" spans="1:14" ht="15" x14ac:dyDescent="0.2">
      <c r="A142" s="19"/>
      <c r="B142" s="22"/>
      <c r="C142" s="5">
        <v>6443973</v>
      </c>
      <c r="D142" s="5">
        <v>6444218</v>
      </c>
      <c r="E142" s="5" t="s">
        <v>302</v>
      </c>
      <c r="F142" s="5" t="s">
        <v>303</v>
      </c>
      <c r="G142" s="5">
        <v>9.3679505810000006</v>
      </c>
      <c r="H142" s="5">
        <v>10.162317249999999</v>
      </c>
      <c r="I142" s="5">
        <v>18.994795700000001</v>
      </c>
      <c r="J142" s="5">
        <v>12.841687840000001</v>
      </c>
      <c r="K142" s="5">
        <v>1504.3258679999999</v>
      </c>
      <c r="L142" s="5">
        <v>1961.387389</v>
      </c>
      <c r="M142" s="5">
        <v>1113.625225</v>
      </c>
      <c r="N142" s="5">
        <v>1526.4461610000001</v>
      </c>
    </row>
    <row r="143" spans="1:14" ht="15" x14ac:dyDescent="0.2">
      <c r="A143" s="19"/>
      <c r="B143" s="22"/>
      <c r="C143" s="5">
        <v>6444587</v>
      </c>
      <c r="D143" s="5">
        <v>6445594</v>
      </c>
      <c r="E143" s="5" t="s">
        <v>304</v>
      </c>
      <c r="F143" s="5" t="s">
        <v>305</v>
      </c>
      <c r="G143" s="5">
        <v>0.92877932699999999</v>
      </c>
      <c r="H143" s="5">
        <v>1.360048986</v>
      </c>
      <c r="I143" s="5">
        <v>2.9432601049999998</v>
      </c>
      <c r="J143" s="5">
        <v>1.7440294730000001</v>
      </c>
      <c r="K143" s="5">
        <v>416.51961260000002</v>
      </c>
      <c r="L143" s="5">
        <v>485.07218010000003</v>
      </c>
      <c r="M143" s="5">
        <v>225.23621</v>
      </c>
      <c r="N143" s="5">
        <v>375.60933419999998</v>
      </c>
    </row>
    <row r="144" spans="1:14" ht="15" x14ac:dyDescent="0.2">
      <c r="A144" s="19"/>
      <c r="B144" s="22"/>
      <c r="C144" s="5">
        <v>6445654</v>
      </c>
      <c r="D144" s="5">
        <v>6445917</v>
      </c>
      <c r="E144" s="5" t="s">
        <v>306</v>
      </c>
      <c r="F144" s="5" t="s">
        <v>307</v>
      </c>
      <c r="G144" s="5">
        <v>1.636730002</v>
      </c>
      <c r="H144" s="5">
        <v>2.4437243820000001</v>
      </c>
      <c r="I144" s="5">
        <v>1.9666328879999999</v>
      </c>
      <c r="J144" s="5">
        <v>2.015695757</v>
      </c>
      <c r="K144" s="5">
        <v>424.05677470000001</v>
      </c>
      <c r="L144" s="5">
        <v>504.18108419999999</v>
      </c>
      <c r="M144" s="5">
        <v>206.55564820000001</v>
      </c>
      <c r="N144" s="5">
        <v>378.26450240000003</v>
      </c>
    </row>
    <row r="145" spans="1:14" ht="15" x14ac:dyDescent="0.2">
      <c r="A145" s="19"/>
      <c r="B145" s="22"/>
      <c r="C145" s="5">
        <v>6445914</v>
      </c>
      <c r="D145" s="5">
        <v>6447836</v>
      </c>
      <c r="E145" s="5" t="s">
        <v>308</v>
      </c>
      <c r="F145" s="5" t="s">
        <v>309</v>
      </c>
      <c r="G145" s="5">
        <v>2.209542946</v>
      </c>
      <c r="H145" s="5">
        <v>2.7677751970000002</v>
      </c>
      <c r="I145" s="5">
        <v>3.5870121589999999</v>
      </c>
      <c r="J145" s="5">
        <v>2.8547767670000002</v>
      </c>
      <c r="K145" s="5">
        <v>508.0473642</v>
      </c>
      <c r="L145" s="5">
        <v>575.34655969999994</v>
      </c>
      <c r="M145" s="5">
        <v>365.40140700000001</v>
      </c>
      <c r="N145" s="5">
        <v>482.93177700000001</v>
      </c>
    </row>
    <row r="146" spans="1:14" ht="15" x14ac:dyDescent="0.2">
      <c r="A146" s="19"/>
      <c r="B146" s="22"/>
      <c r="C146" s="5">
        <v>6447950</v>
      </c>
      <c r="D146" s="5">
        <v>6449548</v>
      </c>
      <c r="E146" s="5" t="s">
        <v>310</v>
      </c>
      <c r="F146" s="5" t="s">
        <v>311</v>
      </c>
      <c r="G146" s="5">
        <v>0.76564980699999996</v>
      </c>
      <c r="H146" s="5">
        <v>1.613866759</v>
      </c>
      <c r="I146" s="5">
        <v>1.9017988370000001</v>
      </c>
      <c r="J146" s="5">
        <v>1.4271051340000001</v>
      </c>
      <c r="K146" s="5">
        <v>269.1101731</v>
      </c>
      <c r="L146" s="5">
        <v>288.84091660000001</v>
      </c>
      <c r="M146" s="5">
        <v>177.66037130000001</v>
      </c>
      <c r="N146" s="5">
        <v>245.20382029999999</v>
      </c>
    </row>
    <row r="147" spans="1:14" ht="15" x14ac:dyDescent="0.2">
      <c r="A147" s="19"/>
      <c r="B147" s="22"/>
      <c r="C147" s="5">
        <v>6449549</v>
      </c>
      <c r="D147" s="5">
        <v>6456442</v>
      </c>
      <c r="E147" s="5" t="s">
        <v>312</v>
      </c>
      <c r="F147" s="5" t="s">
        <v>313</v>
      </c>
      <c r="G147" s="5">
        <v>0.53275632799999995</v>
      </c>
      <c r="H147" s="5">
        <v>0.76034070200000003</v>
      </c>
      <c r="I147" s="5">
        <v>0.90372686199999996</v>
      </c>
      <c r="J147" s="5">
        <v>0.73227463100000001</v>
      </c>
      <c r="K147" s="5">
        <v>161.87316910000001</v>
      </c>
      <c r="L147" s="5">
        <v>173.08506800000001</v>
      </c>
      <c r="M147" s="5">
        <v>104.95025510000001</v>
      </c>
      <c r="N147" s="5">
        <v>146.6361641</v>
      </c>
    </row>
    <row r="148" spans="1:14" ht="15" x14ac:dyDescent="0.2">
      <c r="A148" s="19"/>
      <c r="B148" s="22"/>
      <c r="C148" s="5">
        <v>6456446</v>
      </c>
      <c r="D148" s="5">
        <v>6457489</v>
      </c>
      <c r="E148" s="5" t="s">
        <v>314</v>
      </c>
      <c r="F148" s="5" t="s">
        <v>315</v>
      </c>
      <c r="G148" s="5">
        <v>0.75879053699999999</v>
      </c>
      <c r="H148" s="5">
        <v>0.61795329200000004</v>
      </c>
      <c r="I148" s="5">
        <v>2.2734147020000002</v>
      </c>
      <c r="J148" s="5">
        <v>1.2167195099999999</v>
      </c>
      <c r="K148" s="5">
        <v>273.73645479999999</v>
      </c>
      <c r="L148" s="5">
        <v>282.50343579999998</v>
      </c>
      <c r="M148" s="5">
        <v>195.41573769999999</v>
      </c>
      <c r="N148" s="5">
        <v>250.55187609999999</v>
      </c>
    </row>
    <row r="149" spans="1:14" ht="15" x14ac:dyDescent="0.2">
      <c r="A149" s="19"/>
      <c r="B149" s="22"/>
      <c r="C149" s="5">
        <v>6457476</v>
      </c>
      <c r="D149" s="5">
        <v>6458318</v>
      </c>
      <c r="E149" s="5" t="s">
        <v>316</v>
      </c>
      <c r="F149" s="5" t="s">
        <v>317</v>
      </c>
      <c r="G149" s="5">
        <v>1.4522823739999999</v>
      </c>
      <c r="H149" s="5">
        <v>0.66963265999999999</v>
      </c>
      <c r="I149" s="5">
        <v>1.143786489</v>
      </c>
      <c r="J149" s="5">
        <v>1.088567174</v>
      </c>
      <c r="K149" s="5">
        <v>207.1319656</v>
      </c>
      <c r="L149" s="5">
        <v>228.1392859</v>
      </c>
      <c r="M149" s="5">
        <v>141.18077969999999</v>
      </c>
      <c r="N149" s="5">
        <v>192.1506771</v>
      </c>
    </row>
    <row r="150" spans="1:14" ht="15" x14ac:dyDescent="0.2">
      <c r="A150" s="19"/>
      <c r="B150" s="22"/>
      <c r="C150" s="5">
        <v>6458306</v>
      </c>
      <c r="D150" s="5">
        <v>6459394</v>
      </c>
      <c r="E150" s="5" t="s">
        <v>318</v>
      </c>
      <c r="F150" s="5" t="s">
        <v>319</v>
      </c>
      <c r="G150" s="5">
        <v>1.3226101029999999</v>
      </c>
      <c r="H150" s="5">
        <v>2.2215676200000001</v>
      </c>
      <c r="I150" s="5">
        <v>1.9751464510000001</v>
      </c>
      <c r="J150" s="5">
        <v>1.8397747250000001</v>
      </c>
      <c r="K150" s="5">
        <v>398.73191009999999</v>
      </c>
      <c r="L150" s="5">
        <v>428.78777179999997</v>
      </c>
      <c r="M150" s="5">
        <v>279.22270020000002</v>
      </c>
      <c r="N150" s="5">
        <v>368.91412739999998</v>
      </c>
    </row>
    <row r="151" spans="1:14" ht="15" x14ac:dyDescent="0.2">
      <c r="A151" s="19"/>
      <c r="B151" s="22"/>
      <c r="C151" s="5">
        <v>6459417</v>
      </c>
      <c r="D151" s="5">
        <v>6462218</v>
      </c>
      <c r="E151" s="5" t="s">
        <v>320</v>
      </c>
      <c r="F151" s="5" t="s">
        <v>321</v>
      </c>
      <c r="G151" s="5">
        <v>0.92526064399999997</v>
      </c>
      <c r="H151" s="5">
        <v>1.928292151</v>
      </c>
      <c r="I151" s="5">
        <v>2.514691182</v>
      </c>
      <c r="J151" s="5">
        <v>1.789414659</v>
      </c>
      <c r="K151" s="5">
        <v>497.46992139999998</v>
      </c>
      <c r="L151" s="5">
        <v>533.46514130000003</v>
      </c>
      <c r="M151" s="5">
        <v>371.15566769999998</v>
      </c>
      <c r="N151" s="5">
        <v>467.36357679999998</v>
      </c>
    </row>
    <row r="152" spans="1:14" ht="15" x14ac:dyDescent="0.2">
      <c r="A152" s="19"/>
      <c r="B152" s="22"/>
      <c r="C152" s="5">
        <v>6462296</v>
      </c>
      <c r="D152" s="5">
        <v>6463483</v>
      </c>
      <c r="E152" s="5" t="s">
        <v>322</v>
      </c>
      <c r="F152" s="5" t="s">
        <v>323</v>
      </c>
      <c r="G152" s="5">
        <v>9.2748033450000005</v>
      </c>
      <c r="H152" s="5">
        <v>7.8063417739999998</v>
      </c>
      <c r="I152" s="5">
        <v>10.80087269</v>
      </c>
      <c r="J152" s="5">
        <v>9.2940059359999996</v>
      </c>
      <c r="K152" s="5">
        <v>1699.9390169999999</v>
      </c>
      <c r="L152" s="5">
        <v>1865.7558289999999</v>
      </c>
      <c r="M152" s="5">
        <v>1230.00792</v>
      </c>
      <c r="N152" s="5">
        <v>1598.567589</v>
      </c>
    </row>
    <row r="153" spans="1:14" ht="15" x14ac:dyDescent="0.2">
      <c r="A153" s="19"/>
      <c r="B153" s="22"/>
      <c r="C153" s="5">
        <v>6463526</v>
      </c>
      <c r="D153" s="5">
        <v>6464206</v>
      </c>
      <c r="E153" s="5" t="s">
        <v>324</v>
      </c>
      <c r="F153" s="5" t="s">
        <v>325</v>
      </c>
      <c r="G153" s="5">
        <v>14.06482228</v>
      </c>
      <c r="H153" s="5">
        <v>15.157550349999999</v>
      </c>
      <c r="I153" s="5">
        <v>16.77269283</v>
      </c>
      <c r="J153" s="5">
        <v>15.331688489999999</v>
      </c>
      <c r="K153" s="5">
        <v>817.99146370000005</v>
      </c>
      <c r="L153" s="5">
        <v>895.39623319999998</v>
      </c>
      <c r="M153" s="5">
        <v>529.8894047</v>
      </c>
      <c r="N153" s="5">
        <v>747.75903389999996</v>
      </c>
    </row>
    <row r="154" spans="1:14" s="4" customFormat="1" ht="15" x14ac:dyDescent="0.2">
      <c r="A154" s="7" t="s">
        <v>326</v>
      </c>
      <c r="B154" s="8">
        <v>2.1800000000000002</v>
      </c>
      <c r="C154" s="3">
        <v>6666219</v>
      </c>
      <c r="D154" s="3">
        <v>6668399</v>
      </c>
      <c r="E154" s="3" t="s">
        <v>327</v>
      </c>
      <c r="F154" s="3" t="s">
        <v>328</v>
      </c>
      <c r="G154" s="3">
        <v>3.665194557</v>
      </c>
      <c r="H154" s="3">
        <v>3.0319661510000002</v>
      </c>
      <c r="I154" s="3">
        <v>4.1148962459999998</v>
      </c>
      <c r="J154" s="3">
        <v>3.6040189850000002</v>
      </c>
      <c r="K154" s="3">
        <v>104.02990990000001</v>
      </c>
      <c r="L154" s="3">
        <v>105.2124005</v>
      </c>
      <c r="M154" s="3">
        <v>91.239681009999998</v>
      </c>
      <c r="N154" s="3">
        <v>100.16066379999999</v>
      </c>
    </row>
    <row r="155" spans="1:14" ht="15" x14ac:dyDescent="0.2">
      <c r="A155" s="9" t="s">
        <v>329</v>
      </c>
      <c r="B155" s="10">
        <v>0.94399999999999995</v>
      </c>
      <c r="C155" s="5">
        <v>6891293</v>
      </c>
      <c r="D155" s="5">
        <v>6892237</v>
      </c>
      <c r="E155" s="5" t="s">
        <v>330</v>
      </c>
      <c r="F155" s="5" t="s">
        <v>331</v>
      </c>
      <c r="G155" s="5">
        <v>2.591056172</v>
      </c>
      <c r="H155" s="5">
        <v>3.242783465</v>
      </c>
      <c r="I155" s="5">
        <v>3.6888859979999999</v>
      </c>
      <c r="J155" s="5">
        <v>3.1742418780000001</v>
      </c>
      <c r="K155" s="5">
        <v>82.339593410000006</v>
      </c>
      <c r="L155" s="5">
        <v>78.258311730000003</v>
      </c>
      <c r="M155" s="5">
        <v>77.580407129999998</v>
      </c>
      <c r="N155" s="5">
        <v>79.392770760000005</v>
      </c>
    </row>
    <row r="156" spans="1:14" s="4" customFormat="1" ht="15" x14ac:dyDescent="0.2">
      <c r="A156" s="18" t="s">
        <v>332</v>
      </c>
      <c r="B156" s="21">
        <v>47.515999999999998</v>
      </c>
      <c r="C156" s="3">
        <v>6900898</v>
      </c>
      <c r="D156" s="3">
        <v>6907356</v>
      </c>
      <c r="E156" s="3" t="s">
        <v>333</v>
      </c>
      <c r="F156" s="3" t="s">
        <v>334</v>
      </c>
      <c r="G156" s="3">
        <v>0.76933152000000005</v>
      </c>
      <c r="H156" s="3">
        <v>0.71166520499999997</v>
      </c>
      <c r="I156" s="3">
        <v>1.2057386960000001</v>
      </c>
      <c r="J156" s="3">
        <v>0.89557847400000001</v>
      </c>
      <c r="K156" s="3">
        <v>299.41056980000002</v>
      </c>
      <c r="L156" s="3">
        <v>286.5913683</v>
      </c>
      <c r="M156" s="3">
        <v>300.81083460000002</v>
      </c>
      <c r="N156" s="3">
        <v>295.60425759999998</v>
      </c>
    </row>
    <row r="157" spans="1:14" s="4" customFormat="1" ht="15" x14ac:dyDescent="0.2">
      <c r="A157" s="18"/>
      <c r="B157" s="21"/>
      <c r="C157" s="3">
        <v>6907413</v>
      </c>
      <c r="D157" s="3">
        <v>6918143</v>
      </c>
      <c r="E157" s="3" t="s">
        <v>335</v>
      </c>
      <c r="F157" s="3" t="s">
        <v>336</v>
      </c>
      <c r="G157" s="3">
        <v>0.120798636</v>
      </c>
      <c r="H157" s="3">
        <v>0.21041853799999999</v>
      </c>
      <c r="I157" s="3">
        <v>0.28338238199999999</v>
      </c>
      <c r="J157" s="3">
        <v>0.204866519</v>
      </c>
      <c r="K157" s="3">
        <v>189.64718669999999</v>
      </c>
      <c r="L157" s="3">
        <v>179.00524050000001</v>
      </c>
      <c r="M157" s="3">
        <v>180.9292959</v>
      </c>
      <c r="N157" s="3">
        <v>183.19390770000001</v>
      </c>
    </row>
    <row r="158" spans="1:14" s="4" customFormat="1" ht="15" x14ac:dyDescent="0.2">
      <c r="A158" s="18"/>
      <c r="B158" s="21"/>
      <c r="C158" s="3">
        <v>6918286</v>
      </c>
      <c r="D158" s="3">
        <v>6931959</v>
      </c>
      <c r="E158" s="3" t="s">
        <v>337</v>
      </c>
      <c r="F158" s="3" t="s">
        <v>338</v>
      </c>
      <c r="G158" s="3">
        <v>0.17379932400000001</v>
      </c>
      <c r="H158" s="3">
        <v>0.165131003</v>
      </c>
      <c r="I158" s="3">
        <v>0.51529652599999998</v>
      </c>
      <c r="J158" s="3">
        <v>0.28474228400000001</v>
      </c>
      <c r="K158" s="3">
        <v>185.5839024</v>
      </c>
      <c r="L158" s="3">
        <v>180.40825520000001</v>
      </c>
      <c r="M158" s="3">
        <v>161.9851353</v>
      </c>
      <c r="N158" s="3">
        <v>175.99243100000001</v>
      </c>
    </row>
    <row r="159" spans="1:14" s="4" customFormat="1" ht="15" x14ac:dyDescent="0.2">
      <c r="A159" s="18"/>
      <c r="B159" s="21"/>
      <c r="C159" s="3">
        <v>6932285</v>
      </c>
      <c r="D159" s="3">
        <v>6933607</v>
      </c>
      <c r="E159" s="3" t="s">
        <v>339</v>
      </c>
      <c r="F159" s="3" t="s">
        <v>340</v>
      </c>
      <c r="G159" s="3">
        <v>1.2519809239999999</v>
      </c>
      <c r="H159" s="3">
        <v>0.73145491699999998</v>
      </c>
      <c r="I159" s="3">
        <v>3.924346806</v>
      </c>
      <c r="J159" s="3">
        <v>1.9692608819999999</v>
      </c>
      <c r="K159" s="3">
        <v>2875.0581849999999</v>
      </c>
      <c r="L159" s="3">
        <v>2737.1930170000001</v>
      </c>
      <c r="M159" s="3">
        <v>2551.3603790000002</v>
      </c>
      <c r="N159" s="3">
        <v>2721.2038600000001</v>
      </c>
    </row>
    <row r="160" spans="1:14" s="4" customFormat="1" ht="15" x14ac:dyDescent="0.2">
      <c r="A160" s="18"/>
      <c r="B160" s="21"/>
      <c r="C160" s="3">
        <v>6933604</v>
      </c>
      <c r="D160" s="3">
        <v>6934464</v>
      </c>
      <c r="E160" s="3" t="s">
        <v>341</v>
      </c>
      <c r="F160" s="3" t="s">
        <v>342</v>
      </c>
      <c r="G160" s="3">
        <v>0.920066575</v>
      </c>
      <c r="H160" s="3">
        <v>0.28098572999999999</v>
      </c>
      <c r="I160" s="3">
        <v>2.5843259459999999</v>
      </c>
      <c r="J160" s="3">
        <v>1.2617927499999999</v>
      </c>
      <c r="K160" s="3">
        <v>1665.699832</v>
      </c>
      <c r="L160" s="3">
        <v>1514.9237989999999</v>
      </c>
      <c r="M160" s="3">
        <v>1256.227562</v>
      </c>
      <c r="N160" s="3">
        <v>1478.950398</v>
      </c>
    </row>
    <row r="161" spans="1:14" s="4" customFormat="1" ht="15" x14ac:dyDescent="0.2">
      <c r="A161" s="18"/>
      <c r="B161" s="21"/>
      <c r="C161" s="3">
        <v>6934507</v>
      </c>
      <c r="D161" s="3">
        <v>6936138</v>
      </c>
      <c r="E161" s="3" t="s">
        <v>343</v>
      </c>
      <c r="F161" s="3" t="s">
        <v>344</v>
      </c>
      <c r="G161" s="3">
        <v>0.66191286800000004</v>
      </c>
      <c r="H161" s="3">
        <v>0.49413544500000001</v>
      </c>
      <c r="I161" s="3">
        <v>2.1360277380000001</v>
      </c>
      <c r="J161" s="3">
        <v>1.097358684</v>
      </c>
      <c r="K161" s="3">
        <v>1201.54438</v>
      </c>
      <c r="L161" s="3">
        <v>1093.30276</v>
      </c>
      <c r="M161" s="3">
        <v>1036.929605</v>
      </c>
      <c r="N161" s="3">
        <v>1110.5922479999999</v>
      </c>
    </row>
    <row r="162" spans="1:14" s="4" customFormat="1" ht="15" x14ac:dyDescent="0.2">
      <c r="A162" s="18"/>
      <c r="B162" s="21"/>
      <c r="C162" s="3">
        <v>6936149</v>
      </c>
      <c r="D162" s="3">
        <v>6937705</v>
      </c>
      <c r="E162" s="3" t="s">
        <v>345</v>
      </c>
      <c r="F162" s="3" t="s">
        <v>346</v>
      </c>
      <c r="G162" s="3">
        <v>1.387593836</v>
      </c>
      <c r="H162" s="3">
        <v>1.5538131909999999</v>
      </c>
      <c r="I162" s="3">
        <v>4.4302019149999996</v>
      </c>
      <c r="J162" s="3">
        <v>2.457202981</v>
      </c>
      <c r="K162" s="3">
        <v>2505.1858929999999</v>
      </c>
      <c r="L162" s="3">
        <v>2339.7800860000002</v>
      </c>
      <c r="M162" s="3">
        <v>2338.419418</v>
      </c>
      <c r="N162" s="3">
        <v>2394.4617990000002</v>
      </c>
    </row>
    <row r="163" spans="1:14" s="4" customFormat="1" ht="15" x14ac:dyDescent="0.2">
      <c r="A163" s="18"/>
      <c r="B163" s="21"/>
      <c r="C163" s="3">
        <v>6938012</v>
      </c>
      <c r="D163" s="3">
        <v>6939643</v>
      </c>
      <c r="E163" s="3" t="s">
        <v>347</v>
      </c>
      <c r="F163" s="3" t="s">
        <v>348</v>
      </c>
      <c r="G163" s="3">
        <v>5.2511754230000003</v>
      </c>
      <c r="H163" s="3">
        <v>6.3743472380000004</v>
      </c>
      <c r="I163" s="3">
        <v>6.6353202070000004</v>
      </c>
      <c r="J163" s="3">
        <v>6.0869476230000004</v>
      </c>
      <c r="K163" s="3">
        <v>572.92355520000001</v>
      </c>
      <c r="L163" s="3">
        <v>582.22928449999995</v>
      </c>
      <c r="M163" s="3">
        <v>491.97273860000001</v>
      </c>
      <c r="N163" s="3">
        <v>549.04185940000002</v>
      </c>
    </row>
    <row r="164" spans="1:14" s="4" customFormat="1" ht="15" x14ac:dyDescent="0.2">
      <c r="A164" s="18"/>
      <c r="B164" s="21"/>
      <c r="C164" s="3">
        <v>6939907</v>
      </c>
      <c r="D164" s="3">
        <v>6941544</v>
      </c>
      <c r="E164" s="3" t="s">
        <v>349</v>
      </c>
      <c r="F164" s="3" t="s">
        <v>350</v>
      </c>
      <c r="G164" s="3">
        <v>0.83535181999999997</v>
      </c>
      <c r="H164" s="3">
        <v>0.93541830699999995</v>
      </c>
      <c r="I164" s="3">
        <v>1.9017988370000001</v>
      </c>
      <c r="J164" s="3">
        <v>1.224189655</v>
      </c>
      <c r="K164" s="3">
        <v>499.43925089999999</v>
      </c>
      <c r="L164" s="3">
        <v>504.93111809999999</v>
      </c>
      <c r="M164" s="3">
        <v>369.68885319999998</v>
      </c>
      <c r="N164" s="3">
        <v>458.0197407</v>
      </c>
    </row>
    <row r="165" spans="1:14" s="4" customFormat="1" ht="15" x14ac:dyDescent="0.2">
      <c r="A165" s="18"/>
      <c r="B165" s="21"/>
      <c r="C165" s="3">
        <v>6941746</v>
      </c>
      <c r="D165" s="3">
        <v>6942543</v>
      </c>
      <c r="E165" s="3" t="s">
        <v>351</v>
      </c>
      <c r="F165" s="3" t="s">
        <v>352</v>
      </c>
      <c r="G165" s="3">
        <v>6.4074492809999999</v>
      </c>
      <c r="H165" s="3">
        <v>7.8823891699999997</v>
      </c>
      <c r="I165" s="3">
        <v>37.735692710000002</v>
      </c>
      <c r="J165" s="3">
        <v>17.34184372</v>
      </c>
      <c r="K165" s="3">
        <v>19641.32646</v>
      </c>
      <c r="L165" s="3">
        <v>20987.03083</v>
      </c>
      <c r="M165" s="3">
        <v>14485.54867</v>
      </c>
      <c r="N165" s="3">
        <v>18371.30199</v>
      </c>
    </row>
    <row r="166" spans="1:14" s="4" customFormat="1" ht="15" x14ac:dyDescent="0.2">
      <c r="A166" s="18"/>
      <c r="B166" s="21"/>
      <c r="C166" s="3">
        <v>6942661</v>
      </c>
      <c r="D166" s="3">
        <v>6943506</v>
      </c>
      <c r="E166" s="3" t="s">
        <v>353</v>
      </c>
      <c r="F166" s="3" t="s">
        <v>354</v>
      </c>
      <c r="G166" s="3">
        <v>7.1505367460000002</v>
      </c>
      <c r="H166" s="3">
        <v>6.1959678470000004</v>
      </c>
      <c r="I166" s="3">
        <v>12.186349290000001</v>
      </c>
      <c r="J166" s="3">
        <v>8.5109512939999998</v>
      </c>
      <c r="K166" s="3">
        <v>2363.6081680000002</v>
      </c>
      <c r="L166" s="3">
        <v>2481.9297200000001</v>
      </c>
      <c r="M166" s="3">
        <v>1863.321226</v>
      </c>
      <c r="N166" s="3">
        <v>2236.2863710000001</v>
      </c>
    </row>
    <row r="167" spans="1:14" s="4" customFormat="1" ht="15" x14ac:dyDescent="0.2">
      <c r="A167" s="18"/>
      <c r="B167" s="21"/>
      <c r="C167" s="3">
        <v>6943673</v>
      </c>
      <c r="D167" s="3">
        <v>6945265</v>
      </c>
      <c r="E167" s="3" t="s">
        <v>355</v>
      </c>
      <c r="F167" s="3" t="s">
        <v>356</v>
      </c>
      <c r="G167" s="3">
        <v>7.1428417919999996</v>
      </c>
      <c r="H167" s="3">
        <v>6.1760416569999999</v>
      </c>
      <c r="I167" s="3">
        <v>8.8929689500000002</v>
      </c>
      <c r="J167" s="3">
        <v>7.4039507999999996</v>
      </c>
      <c r="K167" s="3">
        <v>1160.907134</v>
      </c>
      <c r="L167" s="3">
        <v>1102.292273</v>
      </c>
      <c r="M167" s="3">
        <v>931.42130480000003</v>
      </c>
      <c r="N167" s="3">
        <v>1064.8735710000001</v>
      </c>
    </row>
    <row r="168" spans="1:14" s="4" customFormat="1" ht="15" x14ac:dyDescent="0.2">
      <c r="A168" s="18"/>
      <c r="B168" s="21"/>
      <c r="C168" s="3">
        <v>6945280</v>
      </c>
      <c r="D168" s="3">
        <v>6945543</v>
      </c>
      <c r="E168" s="3" t="s">
        <v>357</v>
      </c>
      <c r="F168" s="3" t="s">
        <v>358</v>
      </c>
      <c r="G168" s="3">
        <v>3.00067167</v>
      </c>
      <c r="H168" s="3">
        <v>2.4437243820000001</v>
      </c>
      <c r="I168" s="3">
        <v>0.561895111</v>
      </c>
      <c r="J168" s="3">
        <v>2.002097054</v>
      </c>
      <c r="K168" s="3">
        <v>193.97768600000001</v>
      </c>
      <c r="L168" s="3">
        <v>218.3927247</v>
      </c>
      <c r="M168" s="3">
        <v>175.736234</v>
      </c>
      <c r="N168" s="3">
        <v>196.03554819999999</v>
      </c>
    </row>
    <row r="169" spans="1:14" s="4" customFormat="1" ht="15" x14ac:dyDescent="0.2">
      <c r="A169" s="18"/>
      <c r="B169" s="21"/>
      <c r="C169" s="3">
        <v>6945705</v>
      </c>
      <c r="D169" s="3">
        <v>6946379</v>
      </c>
      <c r="E169" s="3" t="s">
        <v>359</v>
      </c>
      <c r="F169" s="3" t="s">
        <v>360</v>
      </c>
      <c r="G169" s="3">
        <v>3.8408597379999998</v>
      </c>
      <c r="H169" s="3">
        <v>5.1372517000000002</v>
      </c>
      <c r="I169" s="3">
        <v>2.6371610539999999</v>
      </c>
      <c r="J169" s="3">
        <v>3.8717574969999999</v>
      </c>
      <c r="K169" s="3">
        <v>315.5849316</v>
      </c>
      <c r="L169" s="3">
        <v>426.87789099999998</v>
      </c>
      <c r="M169" s="3">
        <v>343.14904050000001</v>
      </c>
      <c r="N169" s="3">
        <v>361.87062100000003</v>
      </c>
    </row>
    <row r="170" spans="1:14" s="4" customFormat="1" ht="15" x14ac:dyDescent="0.2">
      <c r="A170" s="18"/>
      <c r="B170" s="21"/>
      <c r="C170" s="3">
        <v>6946617</v>
      </c>
      <c r="D170" s="3">
        <v>6947423</v>
      </c>
      <c r="E170" s="3" t="s">
        <v>361</v>
      </c>
      <c r="F170" s="3" t="s">
        <v>362</v>
      </c>
      <c r="G170" s="3">
        <v>0.98163236799999998</v>
      </c>
      <c r="H170" s="3">
        <v>0.79943399800000003</v>
      </c>
      <c r="I170" s="3">
        <v>1.8381698799999999</v>
      </c>
      <c r="J170" s="3">
        <v>1.2064120819999999</v>
      </c>
      <c r="K170" s="3">
        <v>77.559025210000001</v>
      </c>
      <c r="L170" s="3">
        <v>83.225643199999993</v>
      </c>
      <c r="M170" s="3">
        <v>73.149488309999995</v>
      </c>
      <c r="N170" s="3">
        <v>77.978052239999997</v>
      </c>
    </row>
    <row r="171" spans="1:14" s="4" customFormat="1" ht="15" x14ac:dyDescent="0.2">
      <c r="A171" s="18"/>
      <c r="B171" s="21"/>
      <c r="C171" s="3">
        <v>6947584</v>
      </c>
      <c r="D171" s="3">
        <v>6948414</v>
      </c>
      <c r="E171" s="3" t="s">
        <v>363</v>
      </c>
      <c r="F171" s="3" t="s">
        <v>364</v>
      </c>
      <c r="G171" s="3">
        <v>0.25998599300000003</v>
      </c>
      <c r="H171" s="3">
        <v>2.6201665749999998</v>
      </c>
      <c r="I171" s="3">
        <v>1.963590135</v>
      </c>
      <c r="J171" s="3">
        <v>1.6145809010000001</v>
      </c>
      <c r="K171" s="3">
        <v>142.76384210000001</v>
      </c>
      <c r="L171" s="3">
        <v>157.31281899999999</v>
      </c>
      <c r="M171" s="3">
        <v>110.096729</v>
      </c>
      <c r="N171" s="3">
        <v>136.72446339999999</v>
      </c>
    </row>
    <row r="172" spans="1:14" ht="15" x14ac:dyDescent="0.2">
      <c r="A172" s="19" t="s">
        <v>365</v>
      </c>
      <c r="B172" s="22">
        <v>17.545000000000002</v>
      </c>
      <c r="C172" s="5">
        <v>7104902</v>
      </c>
      <c r="D172" s="5">
        <v>7106290</v>
      </c>
      <c r="E172" s="5" t="s">
        <v>366</v>
      </c>
      <c r="F172" s="5" t="s">
        <v>367</v>
      </c>
      <c r="G172" s="5">
        <v>0.20738983499999999</v>
      </c>
      <c r="H172" s="5">
        <v>0.406407727</v>
      </c>
      <c r="I172" s="5">
        <v>0.213592958</v>
      </c>
      <c r="J172" s="5">
        <v>0.27579683999999999</v>
      </c>
      <c r="K172" s="5">
        <v>21.148083209999999</v>
      </c>
      <c r="L172" s="5">
        <v>23.174506749999999</v>
      </c>
      <c r="M172" s="5">
        <v>15.205056320000001</v>
      </c>
      <c r="N172" s="5">
        <v>19.84254876</v>
      </c>
    </row>
    <row r="173" spans="1:14" ht="15" x14ac:dyDescent="0.2">
      <c r="A173" s="19"/>
      <c r="B173" s="22"/>
      <c r="C173" s="5">
        <v>7106284</v>
      </c>
      <c r="D173" s="5">
        <v>7108176</v>
      </c>
      <c r="E173" s="5" t="s">
        <v>368</v>
      </c>
      <c r="F173" s="5" t="s">
        <v>369</v>
      </c>
      <c r="G173" s="5">
        <v>0.30434704699999998</v>
      </c>
      <c r="H173" s="5">
        <v>0.426005835</v>
      </c>
      <c r="I173" s="5">
        <v>0.31345020499999998</v>
      </c>
      <c r="J173" s="5">
        <v>0.347934362</v>
      </c>
      <c r="K173" s="5">
        <v>5.6734801270000004</v>
      </c>
      <c r="L173" s="5">
        <v>7.1748658450000002</v>
      </c>
      <c r="M173" s="5">
        <v>3.886590317</v>
      </c>
      <c r="N173" s="5">
        <v>5.5783120960000003</v>
      </c>
    </row>
    <row r="174" spans="1:14" ht="15" x14ac:dyDescent="0.2">
      <c r="A174" s="19"/>
      <c r="B174" s="22"/>
      <c r="C174" s="5">
        <v>7108264</v>
      </c>
      <c r="D174" s="5">
        <v>7111779</v>
      </c>
      <c r="E174" s="5" t="s">
        <v>370</v>
      </c>
      <c r="F174" s="5" t="s">
        <v>371</v>
      </c>
      <c r="G174" s="5">
        <v>0.43013041000000002</v>
      </c>
      <c r="H174" s="5">
        <v>0.59633547200000003</v>
      </c>
      <c r="I174" s="5">
        <v>1.054751915</v>
      </c>
      <c r="J174" s="5">
        <v>0.69373926600000002</v>
      </c>
      <c r="K174" s="5">
        <v>13.47251164</v>
      </c>
      <c r="L174" s="5">
        <v>14.62114609</v>
      </c>
      <c r="M174" s="5">
        <v>14.20454737</v>
      </c>
      <c r="N174" s="5">
        <v>14.0994017</v>
      </c>
    </row>
    <row r="175" spans="1:14" ht="15" x14ac:dyDescent="0.2">
      <c r="A175" s="19"/>
      <c r="B175" s="22"/>
      <c r="C175" s="5">
        <v>7111866</v>
      </c>
      <c r="D175" s="5">
        <v>7116089</v>
      </c>
      <c r="E175" s="5" t="s">
        <v>372</v>
      </c>
      <c r="F175" s="5" t="s">
        <v>373</v>
      </c>
      <c r="G175" s="5">
        <v>0.40918250099999998</v>
      </c>
      <c r="H175" s="5">
        <v>0.28637395100000002</v>
      </c>
      <c r="I175" s="5">
        <v>0.57945433300000004</v>
      </c>
      <c r="J175" s="5">
        <v>0.42500359500000001</v>
      </c>
      <c r="K175" s="5">
        <v>3.2329614329999998</v>
      </c>
      <c r="L175" s="5">
        <v>3.0868229650000001</v>
      </c>
      <c r="M175" s="5">
        <v>2.3565376530000002</v>
      </c>
      <c r="N175" s="5">
        <v>2.8921073499999999</v>
      </c>
    </row>
    <row r="176" spans="1:14" ht="15" x14ac:dyDescent="0.2">
      <c r="A176" s="19"/>
      <c r="B176" s="22"/>
      <c r="C176" s="5">
        <v>7116086</v>
      </c>
      <c r="D176" s="5">
        <v>7116493</v>
      </c>
      <c r="E176" s="5" t="s">
        <v>374</v>
      </c>
      <c r="F176" s="5" t="s">
        <v>375</v>
      </c>
      <c r="G176" s="5">
        <v>1.0590605900000001</v>
      </c>
      <c r="H176" s="5">
        <v>0.98827089000000001</v>
      </c>
      <c r="I176" s="5">
        <v>1.454316758</v>
      </c>
      <c r="J176" s="5">
        <v>1.1672160789999999</v>
      </c>
      <c r="K176" s="5">
        <v>34.690944010000003</v>
      </c>
      <c r="L176" s="5">
        <v>25.799182129999998</v>
      </c>
      <c r="M176" s="5">
        <v>22.487757779999999</v>
      </c>
      <c r="N176" s="5">
        <v>27.659294639999999</v>
      </c>
    </row>
    <row r="177" spans="1:14" ht="15" x14ac:dyDescent="0.2">
      <c r="A177" s="19"/>
      <c r="B177" s="22"/>
      <c r="C177" s="5">
        <v>7116513</v>
      </c>
      <c r="D177" s="5">
        <v>7117874</v>
      </c>
      <c r="E177" s="5" t="s">
        <v>376</v>
      </c>
      <c r="F177" s="5" t="s">
        <v>377</v>
      </c>
      <c r="G177" s="5">
        <v>0.58162798900000001</v>
      </c>
      <c r="H177" s="5">
        <v>1.1841836210000001</v>
      </c>
      <c r="I177" s="5">
        <v>0.76239512799999998</v>
      </c>
      <c r="J177" s="5">
        <v>0.84273557899999996</v>
      </c>
      <c r="K177" s="5">
        <v>13.316383</v>
      </c>
      <c r="L177" s="5">
        <v>13.960961429999999</v>
      </c>
      <c r="M177" s="5">
        <v>10.86724493</v>
      </c>
      <c r="N177" s="5">
        <v>12.71486312</v>
      </c>
    </row>
    <row r="178" spans="1:14" ht="15" x14ac:dyDescent="0.2">
      <c r="A178" s="19"/>
      <c r="B178" s="22"/>
      <c r="C178" s="5">
        <v>7117871</v>
      </c>
      <c r="D178" s="5">
        <v>7118257</v>
      </c>
      <c r="E178" s="5" t="s">
        <v>378</v>
      </c>
      <c r="F178" s="5" t="s">
        <v>379</v>
      </c>
      <c r="G178" s="5">
        <v>1.302617159</v>
      </c>
      <c r="H178" s="5">
        <v>0.83351839400000005</v>
      </c>
      <c r="I178" s="5">
        <v>0.76661658499999996</v>
      </c>
      <c r="J178" s="5">
        <v>0.96758404600000003</v>
      </c>
      <c r="K178" s="5">
        <v>18.01102028</v>
      </c>
      <c r="L178" s="5">
        <v>18.07426573</v>
      </c>
      <c r="M178" s="5">
        <v>10.512048249999999</v>
      </c>
      <c r="N178" s="5">
        <v>15.53244475</v>
      </c>
    </row>
    <row r="179" spans="1:14" ht="15" x14ac:dyDescent="0.2">
      <c r="A179" s="19"/>
      <c r="B179" s="22"/>
      <c r="C179" s="5">
        <v>7118254</v>
      </c>
      <c r="D179" s="5">
        <v>7119774</v>
      </c>
      <c r="E179" s="5" t="s">
        <v>380</v>
      </c>
      <c r="F179" s="5" t="s">
        <v>381</v>
      </c>
      <c r="G179" s="5">
        <v>1.2310447879999999</v>
      </c>
      <c r="H179" s="5">
        <v>0.90133423899999998</v>
      </c>
      <c r="I179" s="5">
        <v>0.438876655</v>
      </c>
      <c r="J179" s="5">
        <v>0.85708522700000001</v>
      </c>
      <c r="K179" s="5">
        <v>6.5934558619999999</v>
      </c>
      <c r="L179" s="5">
        <v>10.04587355</v>
      </c>
      <c r="M179" s="5">
        <v>5.9753113219999996</v>
      </c>
      <c r="N179" s="5">
        <v>7.5382135779999997</v>
      </c>
    </row>
    <row r="180" spans="1:14" ht="15" x14ac:dyDescent="0.2">
      <c r="A180" s="19"/>
      <c r="B180" s="22"/>
      <c r="C180" s="5">
        <v>7119848</v>
      </c>
      <c r="D180" s="5">
        <v>7121122</v>
      </c>
      <c r="E180" s="5" t="s">
        <v>382</v>
      </c>
      <c r="F180" s="5" t="s">
        <v>383</v>
      </c>
      <c r="G180" s="5">
        <v>0.338899389</v>
      </c>
      <c r="H180" s="5">
        <v>1.011989391</v>
      </c>
      <c r="I180" s="5">
        <v>1.1634534059999999</v>
      </c>
      <c r="J180" s="5">
        <v>0.83811406200000005</v>
      </c>
      <c r="K180" s="5">
        <v>9.8180601329999995</v>
      </c>
      <c r="L180" s="5">
        <v>8.7883665579999999</v>
      </c>
      <c r="M180" s="5">
        <v>10.726236159999999</v>
      </c>
      <c r="N180" s="5">
        <v>9.7775542840000007</v>
      </c>
    </row>
    <row r="181" spans="1:14" ht="15" x14ac:dyDescent="0.2">
      <c r="A181" s="19"/>
      <c r="B181" s="22"/>
      <c r="C181" s="5">
        <v>7121125</v>
      </c>
      <c r="D181" s="5">
        <v>7122447</v>
      </c>
      <c r="E181" s="5" t="s">
        <v>384</v>
      </c>
      <c r="F181" s="5" t="s">
        <v>385</v>
      </c>
      <c r="G181" s="5">
        <v>14.53386551</v>
      </c>
      <c r="H181" s="5">
        <v>18.042554620000001</v>
      </c>
      <c r="I181" s="5">
        <v>13.623089630000001</v>
      </c>
      <c r="J181" s="5">
        <v>15.39983659</v>
      </c>
      <c r="K181" s="5">
        <v>17.149601919999999</v>
      </c>
      <c r="L181" s="5">
        <v>14.885812939999999</v>
      </c>
      <c r="M181" s="5">
        <v>19.692783389999999</v>
      </c>
      <c r="N181" s="5">
        <v>17.242732749999998</v>
      </c>
    </row>
    <row r="182" spans="1:14" s="4" customFormat="1" ht="15" x14ac:dyDescent="0.2">
      <c r="A182" s="18" t="s">
        <v>386</v>
      </c>
      <c r="B182" s="21">
        <v>7.34</v>
      </c>
      <c r="C182" s="3">
        <v>7419664</v>
      </c>
      <c r="D182" s="3">
        <v>7422456</v>
      </c>
      <c r="E182" s="3" t="s">
        <v>387</v>
      </c>
      <c r="F182" s="3" t="s">
        <v>388</v>
      </c>
      <c r="G182" s="3" t="s">
        <v>12</v>
      </c>
      <c r="H182" s="3">
        <v>0.46197152600000002</v>
      </c>
      <c r="I182" s="3">
        <v>0.185890112</v>
      </c>
      <c r="J182" s="3">
        <v>0.32393081899999998</v>
      </c>
      <c r="K182" s="3">
        <v>62.008501250000002</v>
      </c>
      <c r="L182" s="3">
        <v>68.663851469999997</v>
      </c>
      <c r="M182" s="3">
        <v>43.324812139999999</v>
      </c>
      <c r="N182" s="3">
        <v>57.999054950000001</v>
      </c>
    </row>
    <row r="183" spans="1:14" s="4" customFormat="1" ht="15" x14ac:dyDescent="0.2">
      <c r="A183" s="18"/>
      <c r="B183" s="21"/>
      <c r="C183" s="3">
        <v>7422494</v>
      </c>
      <c r="D183" s="3">
        <v>7422622</v>
      </c>
      <c r="E183" s="3" t="s">
        <v>389</v>
      </c>
      <c r="F183" s="3" t="s">
        <v>390</v>
      </c>
      <c r="G183" s="3">
        <v>2.233057987</v>
      </c>
      <c r="H183" s="3" t="s">
        <v>12</v>
      </c>
      <c r="I183" s="3">
        <v>1.149924878</v>
      </c>
      <c r="J183" s="3">
        <v>1.6914914329999999</v>
      </c>
      <c r="K183" s="3">
        <v>485.74618989999999</v>
      </c>
      <c r="L183" s="3">
        <v>694.36766499999999</v>
      </c>
      <c r="M183" s="3">
        <v>609.25147709999999</v>
      </c>
      <c r="N183" s="3">
        <v>596.45511069999998</v>
      </c>
    </row>
    <row r="184" spans="1:14" s="4" customFormat="1" ht="15" x14ac:dyDescent="0.2">
      <c r="A184" s="18"/>
      <c r="B184" s="21"/>
      <c r="C184" s="3">
        <v>7422658</v>
      </c>
      <c r="D184" s="3">
        <v>7424568</v>
      </c>
      <c r="E184" s="3" t="s">
        <v>391</v>
      </c>
      <c r="F184" s="3" t="s">
        <v>392</v>
      </c>
      <c r="G184" s="3">
        <v>7.5370089000000001E-2</v>
      </c>
      <c r="H184" s="3">
        <v>8.4398643999999995E-2</v>
      </c>
      <c r="I184" s="3">
        <v>0.58218331700000003</v>
      </c>
      <c r="J184" s="3">
        <v>0.24731734999999999</v>
      </c>
      <c r="K184" s="3">
        <v>17.939467839999999</v>
      </c>
      <c r="L184" s="3">
        <v>18.976450119999999</v>
      </c>
      <c r="M184" s="3">
        <v>9.5117200640000004</v>
      </c>
      <c r="N184" s="3">
        <v>15.475879340000001</v>
      </c>
    </row>
    <row r="185" spans="1:14" s="4" customFormat="1" ht="15" x14ac:dyDescent="0.2">
      <c r="A185" s="18"/>
      <c r="B185" s="21"/>
      <c r="C185" s="3">
        <v>7424565</v>
      </c>
      <c r="D185" s="3">
        <v>7426391</v>
      </c>
      <c r="E185" s="3" t="s">
        <v>393</v>
      </c>
      <c r="F185" s="3" t="s">
        <v>394</v>
      </c>
      <c r="G185" s="3" t="s">
        <v>12</v>
      </c>
      <c r="H185" s="3" t="s">
        <v>12</v>
      </c>
      <c r="I185" s="3">
        <v>0.243580147</v>
      </c>
      <c r="J185" s="3">
        <v>0.243580147</v>
      </c>
      <c r="K185" s="3">
        <v>3.737282182</v>
      </c>
      <c r="L185" s="3">
        <v>4.3117527119999997</v>
      </c>
      <c r="M185" s="3">
        <v>1.1370332030000001</v>
      </c>
      <c r="N185" s="3">
        <v>3.0620226989999999</v>
      </c>
    </row>
    <row r="186" spans="1:14" s="4" customFormat="1" ht="15" x14ac:dyDescent="0.2">
      <c r="A186" s="18"/>
      <c r="B186" s="21"/>
      <c r="C186" s="3">
        <v>7426396</v>
      </c>
      <c r="D186" s="3">
        <v>7427004</v>
      </c>
      <c r="E186" s="3" t="s">
        <v>395</v>
      </c>
      <c r="F186" s="3" t="s">
        <v>396</v>
      </c>
      <c r="G186" s="3">
        <v>1.064277637</v>
      </c>
      <c r="H186" s="3">
        <v>1.853859876</v>
      </c>
      <c r="I186" s="3">
        <v>1.9486411729999999</v>
      </c>
      <c r="J186" s="3">
        <v>1.622259562</v>
      </c>
      <c r="K186" s="3">
        <v>50.920469730000001</v>
      </c>
      <c r="L186" s="3">
        <v>51.29498916</v>
      </c>
      <c r="M186" s="3">
        <v>39.796162109999997</v>
      </c>
      <c r="N186" s="3">
        <v>47.337206999999999</v>
      </c>
    </row>
    <row r="187" spans="1:14" ht="15" x14ac:dyDescent="0.2">
      <c r="A187" s="19" t="s">
        <v>397</v>
      </c>
      <c r="B187" s="22">
        <v>13.756</v>
      </c>
      <c r="C187" s="5">
        <v>7516017</v>
      </c>
      <c r="D187" s="5">
        <v>7516928</v>
      </c>
      <c r="E187" s="5" t="s">
        <v>398</v>
      </c>
      <c r="F187" s="5" t="s">
        <v>399</v>
      </c>
      <c r="G187" s="5">
        <v>43.50973922</v>
      </c>
      <c r="H187" s="5">
        <v>34.662301100000001</v>
      </c>
      <c r="I187" s="5">
        <v>37.735692710000002</v>
      </c>
      <c r="J187" s="5">
        <v>38.635911010000001</v>
      </c>
      <c r="K187" s="5">
        <v>55.605518689999997</v>
      </c>
      <c r="L187" s="5">
        <v>56.144977339999997</v>
      </c>
      <c r="M187" s="5">
        <v>41.475062700000002</v>
      </c>
      <c r="N187" s="5">
        <v>51.075186240000001</v>
      </c>
    </row>
    <row r="188" spans="1:14" ht="15" x14ac:dyDescent="0.2">
      <c r="A188" s="17"/>
      <c r="B188" s="22"/>
      <c r="C188" s="5">
        <v>7516937</v>
      </c>
      <c r="D188" s="5">
        <v>7517875</v>
      </c>
      <c r="E188" s="5" t="s">
        <v>400</v>
      </c>
      <c r="F188" s="5" t="s">
        <v>401</v>
      </c>
      <c r="G188" s="5">
        <v>50.311581230000002</v>
      </c>
      <c r="H188" s="5">
        <v>55.221925079999998</v>
      </c>
      <c r="I188" s="5">
        <v>59.083360669999998</v>
      </c>
      <c r="J188" s="5">
        <v>54.872288990000001</v>
      </c>
      <c r="K188" s="5">
        <v>63.399096729999997</v>
      </c>
      <c r="L188" s="5">
        <v>67.476174839999999</v>
      </c>
      <c r="M188" s="5">
        <v>50.7909644</v>
      </c>
      <c r="N188" s="5">
        <v>60.555411990000003</v>
      </c>
    </row>
    <row r="189" spans="1:14" ht="15" x14ac:dyDescent="0.2">
      <c r="A189" s="17"/>
      <c r="B189" s="22"/>
      <c r="C189" s="5">
        <v>7517875</v>
      </c>
      <c r="D189" s="5">
        <v>7518033</v>
      </c>
      <c r="E189" s="5" t="s">
        <v>402</v>
      </c>
      <c r="F189" s="5" t="s">
        <v>403</v>
      </c>
      <c r="G189" s="5">
        <v>12.682084039999999</v>
      </c>
      <c r="H189" s="5">
        <v>14.7084543</v>
      </c>
      <c r="I189" s="5">
        <v>8.3966212799999997</v>
      </c>
      <c r="J189" s="5">
        <v>11.929053209999999</v>
      </c>
      <c r="K189" s="5">
        <v>33.549599780000001</v>
      </c>
      <c r="L189" s="5">
        <v>19.646948680000001</v>
      </c>
      <c r="M189" s="5">
        <v>15.24268096</v>
      </c>
      <c r="N189" s="5">
        <v>22.813076469999999</v>
      </c>
    </row>
    <row r="190" spans="1:14" ht="15" x14ac:dyDescent="0.2">
      <c r="A190" s="17"/>
      <c r="B190" s="22"/>
      <c r="C190" s="5">
        <v>7518030</v>
      </c>
      <c r="D190" s="5">
        <v>7519466</v>
      </c>
      <c r="E190" s="5" t="s">
        <v>404</v>
      </c>
      <c r="F190" s="5" t="s">
        <v>405</v>
      </c>
      <c r="G190" s="5">
        <v>48.060862329999999</v>
      </c>
      <c r="H190" s="5">
        <v>45.624691319999997</v>
      </c>
      <c r="I190" s="5">
        <v>51.562967630000003</v>
      </c>
      <c r="J190" s="5">
        <v>48.41617376</v>
      </c>
      <c r="K190" s="5">
        <v>46.377360459999998</v>
      </c>
      <c r="L190" s="5">
        <v>44.659046230000001</v>
      </c>
      <c r="M190" s="5">
        <v>40.2967297</v>
      </c>
      <c r="N190" s="5">
        <v>43.777712129999998</v>
      </c>
    </row>
    <row r="191" spans="1:14" ht="15" x14ac:dyDescent="0.2">
      <c r="A191" s="17"/>
      <c r="B191" s="22"/>
      <c r="C191" s="5">
        <v>7519463</v>
      </c>
      <c r="D191" s="5">
        <v>7520599</v>
      </c>
      <c r="E191" s="5" t="s">
        <v>406</v>
      </c>
      <c r="F191" s="5" t="s">
        <v>407</v>
      </c>
      <c r="G191" s="5">
        <v>99.568461549999995</v>
      </c>
      <c r="H191" s="5">
        <v>110.9283226</v>
      </c>
      <c r="I191" s="5">
        <v>110.50505010000001</v>
      </c>
      <c r="J191" s="5">
        <v>107.0006114</v>
      </c>
      <c r="K191" s="5">
        <v>79.945420979999994</v>
      </c>
      <c r="L191" s="5">
        <v>88.336891489999999</v>
      </c>
      <c r="M191" s="5">
        <v>73.234388550000006</v>
      </c>
      <c r="N191" s="5">
        <v>80.505567009999993</v>
      </c>
    </row>
    <row r="192" spans="1:14" ht="15" x14ac:dyDescent="0.2">
      <c r="A192" s="17"/>
      <c r="B192" s="22"/>
      <c r="C192" s="5">
        <v>7520716</v>
      </c>
      <c r="D192" s="5">
        <v>7522758</v>
      </c>
      <c r="E192" s="5" t="s">
        <v>408</v>
      </c>
      <c r="F192" s="5" t="s">
        <v>409</v>
      </c>
      <c r="G192" s="5">
        <v>56.506040380000002</v>
      </c>
      <c r="H192" s="5">
        <v>50.327803889999998</v>
      </c>
      <c r="I192" s="5">
        <v>45.59848959</v>
      </c>
      <c r="J192" s="5">
        <v>50.810777950000002</v>
      </c>
      <c r="K192" s="5">
        <v>74.885071440000004</v>
      </c>
      <c r="L192" s="5">
        <v>78.746470520000003</v>
      </c>
      <c r="M192" s="5">
        <v>51.815362759999999</v>
      </c>
      <c r="N192" s="5">
        <v>68.482301570000004</v>
      </c>
    </row>
    <row r="193" spans="1:14" ht="15" x14ac:dyDescent="0.2">
      <c r="A193" s="17"/>
      <c r="B193" s="22"/>
      <c r="C193" s="5">
        <v>7522758</v>
      </c>
      <c r="D193" s="5">
        <v>7523399</v>
      </c>
      <c r="E193" s="5" t="s">
        <v>410</v>
      </c>
      <c r="F193" s="5" t="s">
        <v>411</v>
      </c>
      <c r="G193" s="5">
        <v>10.432241700000001</v>
      </c>
      <c r="H193" s="5">
        <v>7.536720055</v>
      </c>
      <c r="I193" s="5">
        <v>7.2783796609999998</v>
      </c>
      <c r="J193" s="5">
        <v>8.4157804719999998</v>
      </c>
      <c r="K193" s="5">
        <v>23.376023320000002</v>
      </c>
      <c r="L193" s="5">
        <v>23.906049500000002</v>
      </c>
      <c r="M193" s="5">
        <v>18.605635599999999</v>
      </c>
      <c r="N193" s="5">
        <v>21.962569469999998</v>
      </c>
    </row>
    <row r="194" spans="1:14" ht="15" x14ac:dyDescent="0.2">
      <c r="A194" s="17"/>
      <c r="B194" s="22"/>
      <c r="C194" s="5">
        <v>7523406</v>
      </c>
      <c r="D194" s="5">
        <v>7524428</v>
      </c>
      <c r="E194" s="5" t="s">
        <v>412</v>
      </c>
      <c r="F194" s="5" t="s">
        <v>413</v>
      </c>
      <c r="G194" s="5">
        <v>110.8048612</v>
      </c>
      <c r="H194" s="5">
        <v>98.773762899999994</v>
      </c>
      <c r="I194" s="5">
        <v>78.157797360000004</v>
      </c>
      <c r="J194" s="5">
        <v>95.912140489999999</v>
      </c>
      <c r="K194" s="5">
        <v>184.80024710000001</v>
      </c>
      <c r="L194" s="5">
        <v>192.11323999999999</v>
      </c>
      <c r="M194" s="5">
        <v>154.75280309999999</v>
      </c>
      <c r="N194" s="5">
        <v>177.22209670000001</v>
      </c>
    </row>
    <row r="195" spans="1:14" ht="15" x14ac:dyDescent="0.2">
      <c r="A195" s="17"/>
      <c r="B195" s="22"/>
      <c r="C195" s="5">
        <v>7524433</v>
      </c>
      <c r="D195" s="5">
        <v>7525587</v>
      </c>
      <c r="E195" s="5" t="s">
        <v>414</v>
      </c>
      <c r="F195" s="5" t="s">
        <v>415</v>
      </c>
      <c r="G195" s="5">
        <v>36.787455280000003</v>
      </c>
      <c r="H195" s="5">
        <v>30.23236163</v>
      </c>
      <c r="I195" s="5">
        <v>30.246011110000001</v>
      </c>
      <c r="J195" s="5">
        <v>32.42194267</v>
      </c>
      <c r="K195" s="5">
        <v>75.805248079999998</v>
      </c>
      <c r="L195" s="5">
        <v>82.55046557</v>
      </c>
      <c r="M195" s="5">
        <v>58.678665780000003</v>
      </c>
      <c r="N195" s="5">
        <v>72.344793139999993</v>
      </c>
    </row>
    <row r="196" spans="1:14" ht="15" x14ac:dyDescent="0.2">
      <c r="A196" s="17"/>
      <c r="B196" s="22"/>
      <c r="C196" s="5">
        <v>7525613</v>
      </c>
      <c r="D196" s="5">
        <v>7527583</v>
      </c>
      <c r="E196" s="5" t="s">
        <v>416</v>
      </c>
      <c r="F196" s="5" t="s">
        <v>417</v>
      </c>
      <c r="G196" s="5">
        <v>18.415080939999999</v>
      </c>
      <c r="H196" s="5">
        <v>18.98442807</v>
      </c>
      <c r="I196" s="5">
        <v>23.368678859999999</v>
      </c>
      <c r="J196" s="5">
        <v>20.256062620000002</v>
      </c>
      <c r="K196" s="5">
        <v>59.794204000000001</v>
      </c>
      <c r="L196" s="5">
        <v>64.533550009999999</v>
      </c>
      <c r="M196" s="5">
        <v>41.719340410000001</v>
      </c>
      <c r="N196" s="5">
        <v>55.34903147</v>
      </c>
    </row>
    <row r="197" spans="1:14" ht="15" x14ac:dyDescent="0.2">
      <c r="A197" s="17"/>
      <c r="B197" s="22"/>
      <c r="C197" s="5">
        <v>7527584</v>
      </c>
      <c r="D197" s="5">
        <v>7528969</v>
      </c>
      <c r="E197" s="5" t="s">
        <v>418</v>
      </c>
      <c r="F197" s="5" t="s">
        <v>419</v>
      </c>
      <c r="G197" s="5">
        <v>19.017243830000002</v>
      </c>
      <c r="H197" s="5">
        <v>19.49161114</v>
      </c>
      <c r="I197" s="5">
        <v>18.515781749999999</v>
      </c>
      <c r="J197" s="5">
        <v>19.008212239999999</v>
      </c>
      <c r="K197" s="5">
        <v>69.226428150000004</v>
      </c>
      <c r="L197" s="5">
        <v>74.475728669999995</v>
      </c>
      <c r="M197" s="5">
        <v>53.020633510000003</v>
      </c>
      <c r="N197" s="5">
        <v>65.574263439999996</v>
      </c>
    </row>
    <row r="198" spans="1:14" ht="15" x14ac:dyDescent="0.2">
      <c r="A198" s="17"/>
      <c r="B198" s="22"/>
      <c r="C198" s="5">
        <v>7529043</v>
      </c>
      <c r="D198" s="5">
        <v>7529657</v>
      </c>
      <c r="E198" s="5" t="s">
        <v>420</v>
      </c>
      <c r="F198" s="5" t="s">
        <v>421</v>
      </c>
      <c r="G198" s="5">
        <v>26.34736101</v>
      </c>
      <c r="H198" s="5">
        <v>32.388288510000002</v>
      </c>
      <c r="I198" s="5">
        <v>26.532413040000002</v>
      </c>
      <c r="J198" s="5">
        <v>28.42268752</v>
      </c>
      <c r="K198" s="5">
        <v>48.226322260000003</v>
      </c>
      <c r="L198" s="5">
        <v>49.579897959999997</v>
      </c>
      <c r="M198" s="5">
        <v>41.659787260000002</v>
      </c>
      <c r="N198" s="5">
        <v>46.488669160000001</v>
      </c>
    </row>
    <row r="199" spans="1:14" ht="15" x14ac:dyDescent="0.2">
      <c r="A199" s="17"/>
      <c r="B199" s="22"/>
      <c r="C199" s="5">
        <v>7529654</v>
      </c>
      <c r="D199" s="5">
        <v>7529773</v>
      </c>
      <c r="E199" s="5" t="s">
        <v>422</v>
      </c>
      <c r="F199" s="5" t="s">
        <v>423</v>
      </c>
      <c r="G199" s="5" t="s">
        <v>12</v>
      </c>
      <c r="H199" s="5">
        <v>3.3601210250000002</v>
      </c>
      <c r="I199" s="5">
        <v>0.61808462200000003</v>
      </c>
      <c r="J199" s="5">
        <v>1.9891028239999999</v>
      </c>
      <c r="K199" s="5">
        <v>5.3343863650000003</v>
      </c>
      <c r="L199" s="5">
        <v>2.263670174</v>
      </c>
      <c r="M199" s="5">
        <v>5.7704435060000003</v>
      </c>
      <c r="N199" s="5">
        <v>4.4561666820000001</v>
      </c>
    </row>
    <row r="200" spans="1:14" s="4" customFormat="1" ht="15" x14ac:dyDescent="0.2">
      <c r="A200" s="16" t="s">
        <v>86</v>
      </c>
      <c r="B200" s="21">
        <v>8.1430000000000007</v>
      </c>
      <c r="C200" s="3">
        <v>7590412</v>
      </c>
      <c r="D200" s="3">
        <v>7591452</v>
      </c>
      <c r="E200" s="3" t="s">
        <v>424</v>
      </c>
      <c r="F200" s="3" t="s">
        <v>425</v>
      </c>
      <c r="G200" s="3" t="s">
        <v>12</v>
      </c>
      <c r="H200" s="3">
        <v>0.46480060299999998</v>
      </c>
      <c r="I200" s="3">
        <v>0.35624473899999998</v>
      </c>
      <c r="J200" s="3">
        <v>0.41052267100000001</v>
      </c>
      <c r="K200" s="3">
        <v>4.7143472199999996</v>
      </c>
      <c r="L200" s="3">
        <v>4.4360107160000002</v>
      </c>
      <c r="M200" s="3">
        <v>5.2382988599999996</v>
      </c>
      <c r="N200" s="3">
        <v>4.7962189320000004</v>
      </c>
    </row>
    <row r="201" spans="1:14" s="4" customFormat="1" ht="15" x14ac:dyDescent="0.2">
      <c r="A201" s="18"/>
      <c r="B201" s="21"/>
      <c r="C201" s="3">
        <v>7591479</v>
      </c>
      <c r="D201" s="3">
        <v>7598555</v>
      </c>
      <c r="E201" s="3" t="s">
        <v>426</v>
      </c>
      <c r="F201" s="3" t="s">
        <v>427</v>
      </c>
      <c r="G201" s="3">
        <v>0.24422592700000001</v>
      </c>
      <c r="H201" s="3">
        <v>0.27348166000000002</v>
      </c>
      <c r="I201" s="3">
        <v>0.29345263999999999</v>
      </c>
      <c r="J201" s="3">
        <v>0.27038674200000001</v>
      </c>
      <c r="K201" s="3">
        <v>6.7235730360000003</v>
      </c>
      <c r="L201" s="3">
        <v>6.0166222940000003</v>
      </c>
      <c r="M201" s="3">
        <v>4.831125868</v>
      </c>
      <c r="N201" s="3">
        <v>5.8571070660000002</v>
      </c>
    </row>
    <row r="202" spans="1:14" ht="15" x14ac:dyDescent="0.2">
      <c r="A202" s="19" t="s">
        <v>38</v>
      </c>
      <c r="B202" s="22">
        <v>8.0139999999999993</v>
      </c>
      <c r="C202" s="5">
        <v>7691781</v>
      </c>
      <c r="D202" s="5">
        <v>7692905</v>
      </c>
      <c r="E202" s="5" t="s">
        <v>428</v>
      </c>
      <c r="F202" s="5" t="s">
        <v>429</v>
      </c>
      <c r="G202" s="5">
        <v>4.0329027249999996</v>
      </c>
      <c r="H202" s="5">
        <v>2.5805729469999998</v>
      </c>
      <c r="I202" s="5">
        <v>3.4942383960000001</v>
      </c>
      <c r="J202" s="5">
        <v>3.3692380229999999</v>
      </c>
      <c r="K202" s="5">
        <v>7.9660169720000003</v>
      </c>
      <c r="L202" s="5">
        <v>9.296138848</v>
      </c>
      <c r="M202" s="5">
        <v>4.8471725450000003</v>
      </c>
      <c r="N202" s="5">
        <v>7.3697761220000002</v>
      </c>
    </row>
    <row r="203" spans="1:14" ht="15" x14ac:dyDescent="0.2">
      <c r="A203" s="19"/>
      <c r="B203" s="22"/>
      <c r="C203" s="5">
        <v>7692907</v>
      </c>
      <c r="D203" s="5">
        <v>7694997</v>
      </c>
      <c r="E203" s="5" t="s">
        <v>430</v>
      </c>
      <c r="F203" s="5" t="s">
        <v>431</v>
      </c>
      <c r="G203" s="5">
        <v>5.6827641389999997</v>
      </c>
      <c r="H203" s="5">
        <v>7.5205004280000001</v>
      </c>
      <c r="I203" s="5">
        <v>6.5976321200000001</v>
      </c>
      <c r="J203" s="5">
        <v>6.600298896</v>
      </c>
      <c r="K203" s="5">
        <v>34.048912809999997</v>
      </c>
      <c r="L203" s="5">
        <v>34.198632609999997</v>
      </c>
      <c r="M203" s="5">
        <v>26.161551620000001</v>
      </c>
      <c r="N203" s="5">
        <v>31.469699009999999</v>
      </c>
    </row>
    <row r="204" spans="1:14" ht="15" x14ac:dyDescent="0.2">
      <c r="A204" s="19"/>
      <c r="B204" s="22"/>
      <c r="C204" s="5">
        <v>7695016</v>
      </c>
      <c r="D204" s="5">
        <v>7696275</v>
      </c>
      <c r="E204" s="5" t="s">
        <v>432</v>
      </c>
      <c r="F204" s="5" t="s">
        <v>433</v>
      </c>
      <c r="G204" s="5">
        <v>0.28577825400000001</v>
      </c>
      <c r="H204" s="5">
        <v>0.51201844200000002</v>
      </c>
      <c r="I204" s="5">
        <v>0.58865202100000003</v>
      </c>
      <c r="J204" s="5">
        <v>0.46214957200000001</v>
      </c>
      <c r="K204" s="5">
        <v>7.3947578180000004</v>
      </c>
      <c r="L204" s="5">
        <v>10.348206510000001</v>
      </c>
      <c r="M204" s="5">
        <v>4.3965283849999999</v>
      </c>
      <c r="N204" s="5">
        <v>7.3798309040000003</v>
      </c>
    </row>
    <row r="205" spans="1:14" ht="15" x14ac:dyDescent="0.2">
      <c r="A205" s="19"/>
      <c r="B205" s="22"/>
      <c r="C205" s="5">
        <v>7696262</v>
      </c>
      <c r="D205" s="5">
        <v>7699360</v>
      </c>
      <c r="E205" s="5" t="s">
        <v>434</v>
      </c>
      <c r="F205" s="5" t="s">
        <v>435</v>
      </c>
      <c r="G205" s="5">
        <v>0.209146525</v>
      </c>
      <c r="H205" s="5">
        <v>0.312266814</v>
      </c>
      <c r="I205" s="5">
        <v>0.26326934499999999</v>
      </c>
      <c r="J205" s="5">
        <v>0.26156089500000002</v>
      </c>
      <c r="K205" s="5">
        <v>6.5639862339999997</v>
      </c>
      <c r="L205" s="5">
        <v>6.4206714519999997</v>
      </c>
      <c r="M205" s="5">
        <v>3.128217196</v>
      </c>
      <c r="N205" s="5">
        <v>5.3709582940000002</v>
      </c>
    </row>
    <row r="206" spans="1:14" ht="15" x14ac:dyDescent="0.2">
      <c r="A206" s="19"/>
      <c r="B206" s="22"/>
      <c r="C206" s="5">
        <v>7699447</v>
      </c>
      <c r="D206" s="5">
        <v>7699626</v>
      </c>
      <c r="E206" s="5" t="s">
        <v>436</v>
      </c>
      <c r="F206" s="5" t="s">
        <v>437</v>
      </c>
      <c r="G206" s="5">
        <v>1.6003582240000001</v>
      </c>
      <c r="H206" s="5">
        <v>0.44801613699999998</v>
      </c>
      <c r="I206" s="5">
        <v>4.5326205609999999</v>
      </c>
      <c r="J206" s="5">
        <v>2.1936649739999998</v>
      </c>
      <c r="K206" s="5">
        <v>113.8002425</v>
      </c>
      <c r="L206" s="5">
        <v>112.428952</v>
      </c>
      <c r="M206" s="5">
        <v>114.92799979999999</v>
      </c>
      <c r="N206" s="5">
        <v>113.7190648</v>
      </c>
    </row>
    <row r="207" spans="1:14" ht="15" x14ac:dyDescent="0.2">
      <c r="A207" s="19"/>
      <c r="B207" s="22"/>
      <c r="C207" s="5">
        <v>7699664</v>
      </c>
      <c r="D207" s="5">
        <v>7699795</v>
      </c>
      <c r="E207" s="5" t="s">
        <v>438</v>
      </c>
      <c r="F207" s="5" t="s">
        <v>439</v>
      </c>
      <c r="G207" s="5">
        <v>2.1823066689999999</v>
      </c>
      <c r="H207" s="5">
        <v>1.832793286</v>
      </c>
      <c r="I207" s="5">
        <v>1.123790222</v>
      </c>
      <c r="J207" s="5">
        <v>1.712963392</v>
      </c>
      <c r="K207" s="5">
        <v>16.16480717</v>
      </c>
      <c r="L207" s="5">
        <v>34.469523100000004</v>
      </c>
      <c r="M207" s="5">
        <v>29.507949740000001</v>
      </c>
      <c r="N207" s="5">
        <v>26.714093340000002</v>
      </c>
    </row>
    <row r="208" spans="1:14" s="4" customFormat="1" ht="15" x14ac:dyDescent="0.2">
      <c r="A208" s="3" t="s">
        <v>440</v>
      </c>
      <c r="B208" s="8">
        <v>1.169</v>
      </c>
      <c r="C208" s="3">
        <v>8026306</v>
      </c>
      <c r="D208" s="3">
        <v>8027475</v>
      </c>
      <c r="E208" s="3" t="s">
        <v>441</v>
      </c>
      <c r="F208" s="3" t="s">
        <v>442</v>
      </c>
      <c r="G208" s="3">
        <v>1.0463880699999999</v>
      </c>
      <c r="H208" s="3">
        <v>2.2056179029999998</v>
      </c>
      <c r="I208" s="3">
        <v>2.3455518990000002</v>
      </c>
      <c r="J208" s="3">
        <v>1.865852624</v>
      </c>
      <c r="K208" s="3">
        <v>14.832937579999999</v>
      </c>
      <c r="L208" s="3">
        <v>14.45266342</v>
      </c>
      <c r="M208" s="3">
        <v>11.76282715</v>
      </c>
      <c r="N208" s="3">
        <v>13.68280938</v>
      </c>
    </row>
    <row r="209" spans="1:14" ht="15" x14ac:dyDescent="0.2">
      <c r="A209" s="17" t="s">
        <v>86</v>
      </c>
      <c r="B209" s="22">
        <v>2.7909999999999999</v>
      </c>
      <c r="C209" s="5">
        <v>8493549</v>
      </c>
      <c r="D209" s="5">
        <v>8494580</v>
      </c>
      <c r="E209" s="5" t="s">
        <v>443</v>
      </c>
      <c r="F209" s="5" t="s">
        <v>444</v>
      </c>
      <c r="G209" s="5" t="s">
        <v>12</v>
      </c>
      <c r="H209" s="5" t="s">
        <v>12</v>
      </c>
      <c r="I209" s="5" t="s">
        <v>12</v>
      </c>
      <c r="J209" s="5">
        <v>0</v>
      </c>
      <c r="K209" s="5" t="s">
        <v>12</v>
      </c>
      <c r="L209" s="5">
        <v>0.13160873100000001</v>
      </c>
      <c r="M209" s="5" t="s">
        <v>12</v>
      </c>
      <c r="N209" s="5">
        <v>0.13160873100000001</v>
      </c>
    </row>
    <row r="210" spans="1:14" ht="15" x14ac:dyDescent="0.2">
      <c r="A210" s="17"/>
      <c r="B210" s="22"/>
      <c r="C210" s="5">
        <v>8494577</v>
      </c>
      <c r="D210" s="5">
        <v>8495092</v>
      </c>
      <c r="E210" s="5" t="s">
        <v>445</v>
      </c>
      <c r="F210" s="5" t="s">
        <v>446</v>
      </c>
      <c r="G210" s="5">
        <v>0.27913224800000003</v>
      </c>
      <c r="H210" s="5" t="s">
        <v>12</v>
      </c>
      <c r="I210" s="5" t="s">
        <v>12</v>
      </c>
      <c r="J210" s="5">
        <v>0.27913224800000003</v>
      </c>
      <c r="K210" s="5">
        <v>0.27567888200000001</v>
      </c>
      <c r="L210" s="5">
        <v>0.52643492400000003</v>
      </c>
      <c r="M210" s="5" t="s">
        <v>12</v>
      </c>
      <c r="N210" s="5">
        <v>0.40105690300000002</v>
      </c>
    </row>
    <row r="211" spans="1:14" ht="15" x14ac:dyDescent="0.2">
      <c r="A211" s="17"/>
      <c r="B211" s="22"/>
      <c r="C211" s="5">
        <v>8495102</v>
      </c>
      <c r="D211" s="5">
        <v>8496340</v>
      </c>
      <c r="E211" s="5" t="s">
        <v>447</v>
      </c>
      <c r="F211" s="5" t="s">
        <v>448</v>
      </c>
      <c r="G211" s="5">
        <v>0.23249756299999999</v>
      </c>
      <c r="H211" s="5" t="s">
        <v>12</v>
      </c>
      <c r="I211" s="5" t="s">
        <v>12</v>
      </c>
      <c r="J211" s="5">
        <v>0.23249756299999999</v>
      </c>
      <c r="K211" s="5" t="s">
        <v>12</v>
      </c>
      <c r="L211" s="5">
        <v>0.164431248</v>
      </c>
      <c r="M211" s="5" t="s">
        <v>12</v>
      </c>
      <c r="N211" s="5">
        <v>0.164431248</v>
      </c>
    </row>
    <row r="212" spans="1:14" s="4" customFormat="1" ht="15" x14ac:dyDescent="0.2">
      <c r="A212" s="16" t="s">
        <v>449</v>
      </c>
      <c r="B212" s="21">
        <v>25.12</v>
      </c>
      <c r="C212" s="3">
        <v>8504461</v>
      </c>
      <c r="D212" s="3">
        <v>8506122</v>
      </c>
      <c r="E212" s="3" t="s">
        <v>450</v>
      </c>
      <c r="F212" s="3" t="s">
        <v>451</v>
      </c>
      <c r="G212" s="3">
        <v>0.60663398400000001</v>
      </c>
      <c r="H212" s="3">
        <v>9.7043206000000007E-2</v>
      </c>
      <c r="I212" s="3">
        <v>0.53552458199999997</v>
      </c>
      <c r="J212" s="3">
        <v>0.41306725700000002</v>
      </c>
      <c r="K212" s="3">
        <v>0.81310341699999999</v>
      </c>
      <c r="L212" s="3">
        <v>0.73548850399999999</v>
      </c>
      <c r="M212" s="3">
        <v>0.41663852000000001</v>
      </c>
      <c r="N212" s="3">
        <v>0.65507681399999995</v>
      </c>
    </row>
    <row r="213" spans="1:14" s="4" customFormat="1" ht="15" x14ac:dyDescent="0.2">
      <c r="A213" s="16"/>
      <c r="B213" s="21"/>
      <c r="C213" s="3">
        <v>8506283</v>
      </c>
      <c r="D213" s="3">
        <v>8512972</v>
      </c>
      <c r="E213" s="3" t="s">
        <v>452</v>
      </c>
      <c r="F213" s="3" t="s">
        <v>453</v>
      </c>
      <c r="G213" s="3">
        <v>0.51670758800000005</v>
      </c>
      <c r="H213" s="3">
        <v>0.33751888299999999</v>
      </c>
      <c r="I213" s="3">
        <v>0.47672894599999999</v>
      </c>
      <c r="J213" s="3">
        <v>0.44365180599999998</v>
      </c>
      <c r="K213" s="3">
        <v>0.212631245</v>
      </c>
      <c r="L213" s="3">
        <v>0.629361214</v>
      </c>
      <c r="M213" s="3">
        <v>0.207011426</v>
      </c>
      <c r="N213" s="3">
        <v>0.349667962</v>
      </c>
    </row>
    <row r="214" spans="1:14" s="4" customFormat="1" ht="15" x14ac:dyDescent="0.2">
      <c r="A214" s="16"/>
      <c r="B214" s="21"/>
      <c r="C214" s="3">
        <v>8512969</v>
      </c>
      <c r="D214" s="3">
        <v>8518497</v>
      </c>
      <c r="E214" s="3" t="s">
        <v>454</v>
      </c>
      <c r="F214" s="3" t="s">
        <v>455</v>
      </c>
      <c r="G214" s="3">
        <v>0.39075485700000001</v>
      </c>
      <c r="H214" s="3">
        <v>0.43756323699999999</v>
      </c>
      <c r="I214" s="3">
        <v>0.42927201100000001</v>
      </c>
      <c r="J214" s="3">
        <v>0.41919670199999998</v>
      </c>
      <c r="K214" s="3">
        <v>0.69465693299999998</v>
      </c>
      <c r="L214" s="3">
        <v>0.63869153000000001</v>
      </c>
      <c r="M214" s="3">
        <v>0.46965085499999998</v>
      </c>
      <c r="N214" s="3">
        <v>0.60099977299999996</v>
      </c>
    </row>
    <row r="215" spans="1:14" s="4" customFormat="1" ht="15" x14ac:dyDescent="0.2">
      <c r="A215" s="16"/>
      <c r="B215" s="21"/>
      <c r="C215" s="3">
        <v>8518494</v>
      </c>
      <c r="D215" s="3">
        <v>8519645</v>
      </c>
      <c r="E215" s="3" t="s">
        <v>456</v>
      </c>
      <c r="F215" s="3" t="s">
        <v>457</v>
      </c>
      <c r="G215" s="3">
        <v>6.2513993000000004E-2</v>
      </c>
      <c r="H215" s="3">
        <v>0.42001512800000002</v>
      </c>
      <c r="I215" s="3" t="s">
        <v>12</v>
      </c>
      <c r="J215" s="3">
        <v>0.24126456099999999</v>
      </c>
      <c r="K215" s="3">
        <v>0.24696233200000001</v>
      </c>
      <c r="L215" s="3">
        <v>0.70739692899999995</v>
      </c>
      <c r="M215" s="3">
        <v>0.15027196600000001</v>
      </c>
      <c r="N215" s="3">
        <v>0.36821040900000002</v>
      </c>
    </row>
    <row r="216" spans="1:14" s="4" customFormat="1" ht="15" x14ac:dyDescent="0.2">
      <c r="A216" s="16"/>
      <c r="B216" s="21"/>
      <c r="C216" s="3">
        <v>8519642</v>
      </c>
      <c r="D216" s="3">
        <v>8521675</v>
      </c>
      <c r="E216" s="3" t="s">
        <v>458</v>
      </c>
      <c r="F216" s="3" t="s">
        <v>459</v>
      </c>
      <c r="G216" s="3">
        <v>0.24784308799999999</v>
      </c>
      <c r="H216" s="3">
        <v>0.15858978300000001</v>
      </c>
      <c r="I216" s="3">
        <v>0.32818652500000001</v>
      </c>
      <c r="J216" s="3">
        <v>0.24487313199999999</v>
      </c>
      <c r="K216" s="3">
        <v>0.244776824</v>
      </c>
      <c r="L216" s="3">
        <v>0.367262123</v>
      </c>
      <c r="M216" s="3">
        <v>8.5109786000000007E-2</v>
      </c>
      <c r="N216" s="3">
        <v>0.232382911</v>
      </c>
    </row>
    <row r="217" spans="1:14" s="4" customFormat="1" ht="15" x14ac:dyDescent="0.2">
      <c r="A217" s="16"/>
      <c r="B217" s="21"/>
      <c r="C217" s="3">
        <v>8521684</v>
      </c>
      <c r="D217" s="3">
        <v>8522919</v>
      </c>
      <c r="E217" s="3" t="s">
        <v>460</v>
      </c>
      <c r="F217" s="3" t="s">
        <v>461</v>
      </c>
      <c r="G217" s="3">
        <v>0.69918563199999995</v>
      </c>
      <c r="H217" s="3">
        <v>0.58720561599999999</v>
      </c>
      <c r="I217" s="3">
        <v>0.600082157</v>
      </c>
      <c r="J217" s="3">
        <v>0.62882446800000003</v>
      </c>
      <c r="K217" s="3">
        <v>0.57544620999999996</v>
      </c>
      <c r="L217" s="3">
        <v>0.82415176199999995</v>
      </c>
      <c r="M217" s="3">
        <v>0.490207579</v>
      </c>
      <c r="N217" s="3">
        <v>0.62993518400000004</v>
      </c>
    </row>
    <row r="218" spans="1:14" s="4" customFormat="1" ht="15" x14ac:dyDescent="0.2">
      <c r="A218" s="16"/>
      <c r="B218" s="21"/>
      <c r="C218" s="3">
        <v>8522916</v>
      </c>
      <c r="D218" s="3">
        <v>8523749</v>
      </c>
      <c r="E218" s="3" t="s">
        <v>462</v>
      </c>
      <c r="F218" s="3" t="s">
        <v>463</v>
      </c>
      <c r="G218" s="3">
        <v>1.036203167</v>
      </c>
      <c r="H218" s="3">
        <v>0.19338826000000001</v>
      </c>
      <c r="I218" s="3" t="s">
        <v>12</v>
      </c>
      <c r="J218" s="3">
        <v>0.61479571399999999</v>
      </c>
      <c r="K218" s="3">
        <v>0.17056391300000001</v>
      </c>
      <c r="L218" s="3">
        <v>0.16285396899999999</v>
      </c>
      <c r="M218" s="3">
        <v>0.20756991</v>
      </c>
      <c r="N218" s="3">
        <v>0.18032926399999999</v>
      </c>
    </row>
    <row r="219" spans="1:14" s="4" customFormat="1" ht="15" x14ac:dyDescent="0.2">
      <c r="A219" s="16"/>
      <c r="B219" s="21"/>
      <c r="C219" s="3">
        <v>8523760</v>
      </c>
      <c r="D219" s="3">
        <v>8524488</v>
      </c>
      <c r="E219" s="3" t="s">
        <v>464</v>
      </c>
      <c r="F219" s="3" t="s">
        <v>465</v>
      </c>
      <c r="G219" s="3" t="s">
        <v>12</v>
      </c>
      <c r="H219" s="3">
        <v>0.11062126799999999</v>
      </c>
      <c r="I219" s="3">
        <v>0.61045394799999997</v>
      </c>
      <c r="J219" s="3">
        <v>0.36053760800000001</v>
      </c>
      <c r="K219" s="3">
        <v>0.78052292499999998</v>
      </c>
      <c r="L219" s="3">
        <v>0.37262060499999999</v>
      </c>
      <c r="M219" s="3">
        <v>0.474933622</v>
      </c>
      <c r="N219" s="3">
        <v>0.54269238399999997</v>
      </c>
    </row>
    <row r="220" spans="1:14" s="4" customFormat="1" ht="15" x14ac:dyDescent="0.2">
      <c r="A220" s="16"/>
      <c r="B220" s="21"/>
      <c r="C220" s="3">
        <v>8524521</v>
      </c>
      <c r="D220" s="3">
        <v>8526347</v>
      </c>
      <c r="E220" s="3" t="s">
        <v>466</v>
      </c>
      <c r="F220" s="3" t="s">
        <v>467</v>
      </c>
      <c r="G220" s="3">
        <v>7.8835380999999996E-2</v>
      </c>
      <c r="H220" s="3">
        <v>0.61795329200000004</v>
      </c>
      <c r="I220" s="3">
        <v>0.40596691099999999</v>
      </c>
      <c r="J220" s="3">
        <v>0.36758519499999998</v>
      </c>
      <c r="K220" s="3">
        <v>0.389300227</v>
      </c>
      <c r="L220" s="3">
        <v>0.59472451199999998</v>
      </c>
      <c r="M220" s="3">
        <v>0.189505534</v>
      </c>
      <c r="N220" s="3">
        <v>0.39117675800000001</v>
      </c>
    </row>
    <row r="221" spans="1:14" s="4" customFormat="1" ht="15" x14ac:dyDescent="0.2">
      <c r="A221" s="16"/>
      <c r="B221" s="21"/>
      <c r="C221" s="3">
        <v>8526344</v>
      </c>
      <c r="D221" s="3">
        <v>8528107</v>
      </c>
      <c r="E221" s="3" t="s">
        <v>468</v>
      </c>
      <c r="F221" s="3" t="s">
        <v>469</v>
      </c>
      <c r="G221" s="3">
        <v>0.32660371900000001</v>
      </c>
      <c r="H221" s="3">
        <v>0.22857966199999999</v>
      </c>
      <c r="I221" s="3">
        <v>0.50455887499999996</v>
      </c>
      <c r="J221" s="3">
        <v>0.35324741900000001</v>
      </c>
      <c r="K221" s="3">
        <v>0.201601903</v>
      </c>
      <c r="L221" s="3">
        <v>0.30798233699999999</v>
      </c>
      <c r="M221" s="3">
        <v>0.39254717700000002</v>
      </c>
      <c r="N221" s="3">
        <v>0.30071047200000001</v>
      </c>
    </row>
    <row r="222" spans="1:14" s="4" customFormat="1" ht="15" x14ac:dyDescent="0.2">
      <c r="A222" s="16"/>
      <c r="B222" s="21"/>
      <c r="C222" s="3">
        <v>8528166</v>
      </c>
      <c r="D222" s="3">
        <v>8529581</v>
      </c>
      <c r="E222" s="3" t="s">
        <v>470</v>
      </c>
      <c r="F222" s="3" t="s">
        <v>471</v>
      </c>
      <c r="G222" s="3">
        <v>1.0680356790000001</v>
      </c>
      <c r="H222" s="3">
        <v>1.025121669</v>
      </c>
      <c r="I222" s="3">
        <v>1.1523611600000001</v>
      </c>
      <c r="J222" s="3">
        <v>1.0818395030000001</v>
      </c>
      <c r="K222" s="3">
        <v>0.80367402899999996</v>
      </c>
      <c r="L222" s="3">
        <v>0.95918227700000003</v>
      </c>
      <c r="M222" s="3">
        <v>0.79465853399999997</v>
      </c>
      <c r="N222" s="3">
        <v>0.85250494700000001</v>
      </c>
    </row>
    <row r="223" spans="1:14" ht="15" x14ac:dyDescent="0.2">
      <c r="A223" s="17" t="s">
        <v>472</v>
      </c>
      <c r="B223" s="22">
        <v>2.2160000000000002</v>
      </c>
      <c r="C223" s="5">
        <v>8537030</v>
      </c>
      <c r="D223" s="5">
        <v>8538352</v>
      </c>
      <c r="E223" s="5" t="s">
        <v>473</v>
      </c>
      <c r="F223" s="5" t="s">
        <v>474</v>
      </c>
      <c r="G223" s="5">
        <v>0.108867906</v>
      </c>
      <c r="H223" s="5">
        <v>0.60954576400000005</v>
      </c>
      <c r="I223" s="5" t="s">
        <v>12</v>
      </c>
      <c r="J223" s="5">
        <v>0.359206835</v>
      </c>
      <c r="K223" s="5">
        <v>9.8919333950000006</v>
      </c>
      <c r="L223" s="5">
        <v>11.34401606</v>
      </c>
      <c r="M223" s="5">
        <v>6.4116038949999998</v>
      </c>
      <c r="N223" s="5">
        <v>9.2158511169999997</v>
      </c>
    </row>
    <row r="224" spans="1:14" ht="15" x14ac:dyDescent="0.2">
      <c r="A224" s="17"/>
      <c r="B224" s="22"/>
      <c r="C224" s="5">
        <v>8538368</v>
      </c>
      <c r="D224" s="5">
        <v>8539246</v>
      </c>
      <c r="E224" s="5" t="s">
        <v>475</v>
      </c>
      <c r="F224" s="5" t="s">
        <v>476</v>
      </c>
      <c r="G224" s="5">
        <v>0.491577612</v>
      </c>
      <c r="H224" s="5">
        <v>0.82569526900000001</v>
      </c>
      <c r="I224" s="5">
        <v>2.0251236760000002</v>
      </c>
      <c r="J224" s="5">
        <v>1.114132186</v>
      </c>
      <c r="K224" s="5">
        <v>24.679375669999999</v>
      </c>
      <c r="L224" s="5">
        <v>25.031711139999999</v>
      </c>
      <c r="M224" s="5">
        <v>22.746970130000001</v>
      </c>
      <c r="N224" s="5">
        <v>24.152685649999999</v>
      </c>
    </row>
    <row r="225" spans="1:1" x14ac:dyDescent="0.2">
      <c r="A225" s="13" t="s">
        <v>482</v>
      </c>
    </row>
  </sheetData>
  <mergeCells count="59">
    <mergeCell ref="B202:B207"/>
    <mergeCell ref="B209:B211"/>
    <mergeCell ref="B212:B222"/>
    <mergeCell ref="B223:B224"/>
    <mergeCell ref="C2:C3"/>
    <mergeCell ref="B156:B171"/>
    <mergeCell ref="B172:B181"/>
    <mergeCell ref="B182:B186"/>
    <mergeCell ref="B187:B199"/>
    <mergeCell ref="B200:B201"/>
    <mergeCell ref="B98:B119"/>
    <mergeCell ref="B120:B121"/>
    <mergeCell ref="B122:B128"/>
    <mergeCell ref="B129:B131"/>
    <mergeCell ref="B132:B153"/>
    <mergeCell ref="A202:A207"/>
    <mergeCell ref="A209:A211"/>
    <mergeCell ref="A212:A222"/>
    <mergeCell ref="A223:A224"/>
    <mergeCell ref="B2:B3"/>
    <mergeCell ref="B4:B9"/>
    <mergeCell ref="B10:B16"/>
    <mergeCell ref="B17:B20"/>
    <mergeCell ref="B21:B31"/>
    <mergeCell ref="B32:B35"/>
    <mergeCell ref="B36:B38"/>
    <mergeCell ref="B39:B47"/>
    <mergeCell ref="B48:B51"/>
    <mergeCell ref="B52:B53"/>
    <mergeCell ref="B54:B57"/>
    <mergeCell ref="B58:B97"/>
    <mergeCell ref="A156:A171"/>
    <mergeCell ref="A172:A181"/>
    <mergeCell ref="A182:A186"/>
    <mergeCell ref="A187:A199"/>
    <mergeCell ref="A200:A201"/>
    <mergeCell ref="A98:A119"/>
    <mergeCell ref="A120:A121"/>
    <mergeCell ref="A122:A128"/>
    <mergeCell ref="A129:A131"/>
    <mergeCell ref="A132:A153"/>
    <mergeCell ref="A39:A47"/>
    <mergeCell ref="A48:A51"/>
    <mergeCell ref="A52:A53"/>
    <mergeCell ref="A54:A57"/>
    <mergeCell ref="A58:A97"/>
    <mergeCell ref="A10:A16"/>
    <mergeCell ref="A17:A20"/>
    <mergeCell ref="A21:A31"/>
    <mergeCell ref="A32:A35"/>
    <mergeCell ref="A36:A38"/>
    <mergeCell ref="A1:XFD1"/>
    <mergeCell ref="G2:J2"/>
    <mergeCell ref="K2:N2"/>
    <mergeCell ref="A2:A3"/>
    <mergeCell ref="A4:A9"/>
    <mergeCell ref="D2:D3"/>
    <mergeCell ref="E2:E3"/>
    <mergeCell ref="F2:F3"/>
  </mergeCells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邓梁</dc:creator>
  <cp:lastModifiedBy>Yuhui Sun</cp:lastModifiedBy>
  <dcterms:created xsi:type="dcterms:W3CDTF">2015-06-06T02:19:00Z</dcterms:created>
  <dcterms:modified xsi:type="dcterms:W3CDTF">2022-11-04T13:51:46Z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